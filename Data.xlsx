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tu\Desktop\New folder\"/>
    </mc:Choice>
  </mc:AlternateContent>
  <bookViews>
    <workbookView xWindow="0" yWindow="0" windowWidth="20490" windowHeight="7770"/>
  </bookViews>
  <sheets>
    <sheet name="Customer" sheetId="2" r:id="rId1"/>
    <sheet name="Price" sheetId="3" r:id="rId2"/>
  </sheets>
  <definedNames>
    <definedName name="_xlnm._FilterDatabase" localSheetId="0" hidden="1">Customer!$B$2:$E$337</definedName>
    <definedName name="_xlnm.Print_Area" localSheetId="1">Price!$A$1:$N$97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3" i="3" l="1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</calcChain>
</file>

<file path=xl/sharedStrings.xml><?xml version="1.0" encoding="utf-8"?>
<sst xmlns="http://schemas.openxmlformats.org/spreadsheetml/2006/main" count="1753" uniqueCount="753">
  <si>
    <t>Customer Name</t>
  </si>
  <si>
    <t>Concern Person</t>
  </si>
  <si>
    <t>Contact Number</t>
  </si>
  <si>
    <t>Bashundhara Industrial Complex Limited</t>
  </si>
  <si>
    <t>Mr. Niyaz</t>
  </si>
  <si>
    <t>01332-533095</t>
  </si>
  <si>
    <t>Mr. Nayem</t>
  </si>
  <si>
    <t>01755-520557</t>
  </si>
  <si>
    <t>Meghna Cement Mills Limited</t>
  </si>
  <si>
    <t>Bashundhara Ready Mix and Construction Industries Ltd.</t>
  </si>
  <si>
    <t>BASHUNDHARA MULTI TRADING LIMITED</t>
  </si>
  <si>
    <t>Bashundhara Paper Mills Ltd.</t>
  </si>
  <si>
    <t>Mr. Rabbi</t>
  </si>
  <si>
    <t>01701-214739</t>
  </si>
  <si>
    <t>Mr. Sifat</t>
  </si>
  <si>
    <t>01704-160527</t>
  </si>
  <si>
    <t>Bashundhara Fine Paper Mills Limited (L-3)</t>
  </si>
  <si>
    <t>Bashundhara Multi Paper Industries Ltd.</t>
  </si>
  <si>
    <t>Bashundhara Industrial Complex Ltd.</t>
  </si>
  <si>
    <t>Bashundhara Chemical Industries Ltd.</t>
  </si>
  <si>
    <t>Omar Faruk</t>
  </si>
  <si>
    <t>01921-385435</t>
  </si>
  <si>
    <t>Bashundhara Paper Mills Ltd. U-2</t>
  </si>
  <si>
    <t>Mr. Yeasir</t>
  </si>
  <si>
    <t>01704-160643</t>
  </si>
  <si>
    <t>Bashundhara Industrial Complex Ltd. - Mongla</t>
  </si>
  <si>
    <t>Mr. Asad</t>
  </si>
  <si>
    <t>01701-214602</t>
  </si>
  <si>
    <t>Company Address</t>
  </si>
  <si>
    <t>Abul Khair Strip Processing Ltd.</t>
  </si>
  <si>
    <t>Kabir Hossain Mahon</t>
  </si>
  <si>
    <t>01912-643850</t>
  </si>
  <si>
    <t>Abul Khair Steel Melting Ltd (Melting)</t>
  </si>
  <si>
    <t>Mr. Rifat</t>
  </si>
  <si>
    <t>‪01969-419633‬</t>
  </si>
  <si>
    <t>Abul Khair Steel Melting Ltd (Re-Rolling)</t>
  </si>
  <si>
    <t>Smile Food Products Limited</t>
  </si>
  <si>
    <t>Mr. Nazmul</t>
  </si>
  <si>
    <t>01958-356825</t>
  </si>
  <si>
    <t>ACE Workshop Ltd.</t>
  </si>
  <si>
    <t>Tareq Hasan</t>
  </si>
  <si>
    <t>01894966282</t>
  </si>
  <si>
    <t>Advanced Chemical Industries Ltd.</t>
  </si>
  <si>
    <t>Mr. Jacob Bawm</t>
  </si>
  <si>
    <t>ACI Motors Ltd</t>
  </si>
  <si>
    <t>Mr. Sadika Wasia</t>
  </si>
  <si>
    <t>ACI Salt Limited</t>
  </si>
  <si>
    <t>Mst. Lubaina</t>
  </si>
  <si>
    <t>ACI Marine and Riverine Technologies Limited</t>
  </si>
  <si>
    <t>Mr. Taukir</t>
  </si>
  <si>
    <t>Mr. Mesbah</t>
  </si>
  <si>
    <t>01700-704562</t>
  </si>
  <si>
    <t>ACI HEALTHCARE LIMITED</t>
  </si>
  <si>
    <t>Mr. Saiful</t>
  </si>
  <si>
    <t>01730-359611</t>
  </si>
  <si>
    <t>ACI GODREJ AGROVET PRIVATE LIMITED</t>
  </si>
  <si>
    <t>Mst. Miki Das</t>
  </si>
  <si>
    <t>01755-532706</t>
  </si>
  <si>
    <t>Mr. Farhat Numan</t>
  </si>
  <si>
    <t>01755-608442</t>
  </si>
  <si>
    <t>Mst Kashfia</t>
  </si>
  <si>
    <t>01730-024477</t>
  </si>
  <si>
    <t>ACI Motors Limited</t>
  </si>
  <si>
    <t>Mr. Sibat</t>
  </si>
  <si>
    <t>01701-216110</t>
  </si>
  <si>
    <t>Acs Textiles (Bangladesh) Limited</t>
  </si>
  <si>
    <t>Mr. Abdul Kadir</t>
  </si>
  <si>
    <t>01725-359546</t>
  </si>
  <si>
    <t>ALLTECH BIOTECHNOLOGY PVT. LTD.</t>
  </si>
  <si>
    <t>Md. Ashraful Hasan</t>
  </si>
  <si>
    <t>Anlima Textile Ltd.</t>
  </si>
  <si>
    <t>Mr. Nurun Nabi</t>
  </si>
  <si>
    <t>01819-497997</t>
  </si>
  <si>
    <t>ANWAR CEMENT SHEET LTD.</t>
  </si>
  <si>
    <t>Md. Abdur Rouf</t>
  </si>
  <si>
    <t>01730-718479</t>
  </si>
  <si>
    <t>ANWAR CEMENT LTD.</t>
  </si>
  <si>
    <t>A-One Polymer Ltd.</t>
  </si>
  <si>
    <t>Mr. Rashed</t>
  </si>
  <si>
    <t>01701-279475</t>
  </si>
  <si>
    <t>Mr. Anick Nath Pranta</t>
  </si>
  <si>
    <t>01990-408765</t>
  </si>
  <si>
    <t>Mr. Ariful Haque</t>
  </si>
  <si>
    <t>01675-884435</t>
  </si>
  <si>
    <t>Md. Yakub Babu</t>
  </si>
  <si>
    <t>01329-734474</t>
  </si>
  <si>
    <t>Mr. Mahabub Alam</t>
  </si>
  <si>
    <t>01711-188813</t>
  </si>
  <si>
    <t>Anwar Galvanizing Ltd.</t>
  </si>
  <si>
    <t>Anwar Cement Ltd</t>
  </si>
  <si>
    <t>Mr. Yakub Babu</t>
  </si>
  <si>
    <t>Anwar Ispat Limited</t>
  </si>
  <si>
    <t>Mr. Jashim</t>
  </si>
  <si>
    <t>01720-460822</t>
  </si>
  <si>
    <t>Anwar Cement Limited</t>
  </si>
  <si>
    <t>Mr. Mahbub</t>
  </si>
  <si>
    <t>0 1711-188813</t>
  </si>
  <si>
    <t>APEX FASHION WEAR LIMITED</t>
  </si>
  <si>
    <t>Mst. Sammi</t>
  </si>
  <si>
    <t>01679-842939</t>
  </si>
  <si>
    <t>Matex Bangladesh Ltd.</t>
  </si>
  <si>
    <t>Mst. Sharmin</t>
  </si>
  <si>
    <t>01533-967252</t>
  </si>
  <si>
    <t>Apex Spinning &amp; Knitting Mills Ltd.</t>
  </si>
  <si>
    <t>Apex Biofertilizers &amp; Biopesticides Limited</t>
  </si>
  <si>
    <t>APEX LINGERIE LIMITED</t>
  </si>
  <si>
    <t>Mr. Avishek</t>
  </si>
  <si>
    <t>01316-788778</t>
  </si>
  <si>
    <t>Apex Textile Printing Mills Limited</t>
  </si>
  <si>
    <t>APEX YARN DYEING LIMITED.</t>
  </si>
  <si>
    <t xml:space="preserve">Badsha Textiles Ltd. </t>
  </si>
  <si>
    <t>Mosharaf</t>
  </si>
  <si>
    <t>Mahabub</t>
  </si>
  <si>
    <t>Kamal Yarn Limited</t>
  </si>
  <si>
    <t>Pioneer Denim Limited</t>
  </si>
  <si>
    <t>Pioneer knitwear (BD) Ltd.</t>
  </si>
  <si>
    <t>01711-189830</t>
  </si>
  <si>
    <t>Mr. Junayed</t>
  </si>
  <si>
    <t>01321-171546</t>
  </si>
  <si>
    <t>01844-083552</t>
  </si>
  <si>
    <t>01799-994759</t>
  </si>
  <si>
    <t>Basic Apparels Ltd.</t>
  </si>
  <si>
    <t>Mr. Solaiman</t>
  </si>
  <si>
    <t>01676-338835</t>
  </si>
  <si>
    <t>Basumati Energy Limited</t>
  </si>
  <si>
    <t>Mr. Sanjoy</t>
  </si>
  <si>
    <t>01991-196721</t>
  </si>
  <si>
    <t>Bengal Cement Limited</t>
  </si>
  <si>
    <t>Mr. Shohel</t>
  </si>
  <si>
    <t>01708-149049</t>
  </si>
  <si>
    <t>Mr. Sajedur</t>
  </si>
  <si>
    <t>Beximco Pharmaceuticals Ltd</t>
  </si>
  <si>
    <t xml:space="preserve">Mst. Sanjida Anwar </t>
  </si>
  <si>
    <t xml:space="preserve">0171 5970092 </t>
  </si>
  <si>
    <t>BSRM Steels Limited</t>
  </si>
  <si>
    <t>Mr. Tanvir</t>
  </si>
  <si>
    <t>01730-784841</t>
  </si>
  <si>
    <t>BSRM Logistics Limited</t>
  </si>
  <si>
    <t>Mr. Pijus</t>
  </si>
  <si>
    <t>01713-378627</t>
  </si>
  <si>
    <t>Bangladesh Steel Re-Rolling Mills Limited</t>
  </si>
  <si>
    <t>H. Akber Ali &amp; Co. Limited</t>
  </si>
  <si>
    <t>Mr. Poluk</t>
  </si>
  <si>
    <t>Cross world power ltd.</t>
  </si>
  <si>
    <t>Sayem</t>
  </si>
  <si>
    <t>Cross World Power Ltd.</t>
  </si>
  <si>
    <t>Arif</t>
  </si>
  <si>
    <t>01708-483883</t>
  </si>
  <si>
    <t>01755-514796</t>
  </si>
  <si>
    <t>Dabur Bangladesh Private Limited</t>
  </si>
  <si>
    <t>Mr. Asish</t>
  </si>
  <si>
    <t>01709-661967</t>
  </si>
  <si>
    <t>Dana Engineers International Ltd.</t>
  </si>
  <si>
    <t>01937-402069</t>
  </si>
  <si>
    <t>Mr. Foysal</t>
  </si>
  <si>
    <t>01938-804179</t>
  </si>
  <si>
    <t>Ekhlas Spinning Mills</t>
  </si>
  <si>
    <t>Mr. Anwar</t>
  </si>
  <si>
    <t>01715-547114</t>
  </si>
  <si>
    <t>Energypac Wires &amp; Cables Ltd.</t>
  </si>
  <si>
    <t>Md. Nazmul</t>
  </si>
  <si>
    <t>01708-454334</t>
  </si>
  <si>
    <t xml:space="preserve">Energypac Power Generation Ltd.   </t>
  </si>
  <si>
    <t>Md. Mehedi Hasan Limon</t>
  </si>
  <si>
    <t>Md. Selim Reza</t>
  </si>
  <si>
    <t>Md. Riad Hossain</t>
  </si>
  <si>
    <t>Export Promotion Bureau</t>
  </si>
  <si>
    <t>Mr. Rasel</t>
  </si>
  <si>
    <t>01927-468402</t>
  </si>
  <si>
    <t>Gazi Pipes &amp; Fittings</t>
  </si>
  <si>
    <t>Mr. Monir</t>
  </si>
  <si>
    <t>Gazi Pipes</t>
  </si>
  <si>
    <t>Gazi Tanks</t>
  </si>
  <si>
    <t>Gazi Doors</t>
  </si>
  <si>
    <t>01911-125757</t>
  </si>
  <si>
    <t>01911-125758</t>
  </si>
  <si>
    <t>Mst. Sohana Sultana</t>
  </si>
  <si>
    <t>Zahin Recycling Plant</t>
  </si>
  <si>
    <t>Md. Towhid</t>
  </si>
  <si>
    <t>01816-340905</t>
  </si>
  <si>
    <t>HeidelbergCement Bangladesh Limited</t>
  </si>
  <si>
    <t>Arif Samdany</t>
  </si>
  <si>
    <t>01730-735342</t>
  </si>
  <si>
    <t>ASM CHEMICAL INDUSTRIES LTD</t>
  </si>
  <si>
    <t>Mr. Alamin</t>
  </si>
  <si>
    <t>01329-723411</t>
  </si>
  <si>
    <t>AA Power Generation Ltd</t>
  </si>
  <si>
    <t>Mr. Motiur Rahman</t>
  </si>
  <si>
    <t>AA Knit Spin Ltd</t>
  </si>
  <si>
    <t>Mr. Saifur</t>
  </si>
  <si>
    <t>MSA SPINNING LIMITED</t>
  </si>
  <si>
    <t>Mr. Nil Ratan Saha</t>
  </si>
  <si>
    <t>AA Yarn Mills Ltd</t>
  </si>
  <si>
    <t>Mr. Mosfek</t>
  </si>
  <si>
    <t>01938-114255</t>
  </si>
  <si>
    <t>Kader Synthetic Fibres Limited</t>
  </si>
  <si>
    <t>AA Synthetic Fibres Limited</t>
  </si>
  <si>
    <t xml:space="preserve">Kaltimex Energy Bangladesh (Pvt.) Ltd </t>
  </si>
  <si>
    <t>Mst. Tamanna</t>
  </si>
  <si>
    <t>0 1730-059173</t>
  </si>
  <si>
    <t>Karim Asphalt &amp; Ready Mix Ltd</t>
  </si>
  <si>
    <t>Mr. Ruhul Amin</t>
  </si>
  <si>
    <t>Reedisha Blended Yarn Limited</t>
  </si>
  <si>
    <t>Mr. Murad</t>
  </si>
  <si>
    <t>01718776708</t>
  </si>
  <si>
    <t>Kohinoor Chemical Co. (Bangladesh) Ltd</t>
  </si>
  <si>
    <t>Mr. Siraj</t>
  </si>
  <si>
    <t>01313034554</t>
  </si>
  <si>
    <t>REEDISHA KNITEX LTD</t>
  </si>
  <si>
    <t>Mr. Shameem</t>
  </si>
  <si>
    <t>01313-083705</t>
  </si>
  <si>
    <t>Reedisha Spinning Ltd.</t>
  </si>
  <si>
    <t>01758-656606</t>
  </si>
  <si>
    <t>LafargeHolcim Bangladesh Limited</t>
  </si>
  <si>
    <t xml:space="preserve">Mr. Atanu </t>
  </si>
  <si>
    <t>Lalmai Food Products Limited</t>
  </si>
  <si>
    <t>Mr. Al Imran</t>
  </si>
  <si>
    <t>01624-820075</t>
  </si>
  <si>
    <t>M. Hossain Cotton Spinning Mills (Pvt) Ltd.</t>
  </si>
  <si>
    <t>Md. Ripon</t>
  </si>
  <si>
    <t>01830-760502</t>
  </si>
  <si>
    <t>01784-297167</t>
  </si>
  <si>
    <t>Madina Maritime Ltd</t>
  </si>
  <si>
    <t>Masco Exports Limited</t>
  </si>
  <si>
    <t>Mr. Jahidur</t>
  </si>
  <si>
    <t>01678-588254</t>
  </si>
  <si>
    <t>Masco Industries Limited</t>
  </si>
  <si>
    <t>Mr. Sujon</t>
  </si>
  <si>
    <t>01678-588050</t>
  </si>
  <si>
    <t xml:space="preserve">Shanta Expressions Ltd. </t>
  </si>
  <si>
    <t xml:space="preserve">Concept Knitting Ltd. </t>
  </si>
  <si>
    <t>Mascotex Limited</t>
  </si>
  <si>
    <t>Mst. Umme Aiman</t>
  </si>
  <si>
    <t xml:space="preserve">01946-398766 </t>
  </si>
  <si>
    <t>Tasniah Fabrics Ltd.</t>
  </si>
  <si>
    <t>Masco Picasso Ltd.</t>
  </si>
  <si>
    <t>Masco Industries Limited (School)</t>
  </si>
  <si>
    <t>MASCO Shakib Cricket Academy Ltd.</t>
  </si>
  <si>
    <t>MASCO Cottons Limited</t>
  </si>
  <si>
    <t>Mr. Anup</t>
  </si>
  <si>
    <t>01855-444143</t>
  </si>
  <si>
    <t>Masco Printing &amp; Embroidery Ltd</t>
  </si>
  <si>
    <t>01678-588052</t>
  </si>
  <si>
    <t>MPL Wear Ltd</t>
  </si>
  <si>
    <t>Masco Overseas Limited</t>
  </si>
  <si>
    <t xml:space="preserve">Mr. Afridi </t>
  </si>
  <si>
    <t xml:space="preserve">01678-566 750 </t>
  </si>
  <si>
    <t>Mr. Afridi Azad Ayon</t>
  </si>
  <si>
    <t>Concept Knitting Ltd.</t>
  </si>
  <si>
    <t>Tasniah Fabrics Ltd</t>
  </si>
  <si>
    <t>Mir Concrete Products Ltd.</t>
  </si>
  <si>
    <t>01738-075522</t>
  </si>
  <si>
    <t>Mir Ceramics Ltd.</t>
  </si>
  <si>
    <t>Mr. Fazlul Karim</t>
  </si>
  <si>
    <t>01322-841066</t>
  </si>
  <si>
    <t>Mirpur Concrete Ready Mix Plant</t>
  </si>
  <si>
    <t>Mr. Jubayer</t>
  </si>
  <si>
    <t>01958-173144</t>
  </si>
  <si>
    <t>Nasir Glassware and Tube Industries Ltd.</t>
  </si>
  <si>
    <t>Mr. Tamal</t>
  </si>
  <si>
    <t>01713-257891</t>
  </si>
  <si>
    <t>Nasir Opal Glass &amp; Crockeries Industries Ltd.</t>
  </si>
  <si>
    <t>Mr. Hannan</t>
  </si>
  <si>
    <t>01814-921624</t>
  </si>
  <si>
    <t>Nasir Glass Industries Limited</t>
  </si>
  <si>
    <t>Mr. Shikbeer Ahamed</t>
  </si>
  <si>
    <t>01716-206748</t>
  </si>
  <si>
    <t>Mr. Siddik</t>
  </si>
  <si>
    <t>Nasir Quality Glass Industries Ltd</t>
  </si>
  <si>
    <t>Bangladesh Melamine Industries Ltd.</t>
  </si>
  <si>
    <t>Mr. Sazzad</t>
  </si>
  <si>
    <t>01676434548</t>
  </si>
  <si>
    <t>Mr. Shibbir Ahamed</t>
  </si>
  <si>
    <t>01772-100612</t>
  </si>
  <si>
    <t>Nassa Taipei Spinners Ltd.</t>
  </si>
  <si>
    <t>01739-772927</t>
  </si>
  <si>
    <t>Nassa Spinners Ltd.</t>
  </si>
  <si>
    <t>Mr. Rubel</t>
  </si>
  <si>
    <t>01737-146043</t>
  </si>
  <si>
    <t>Nassa Taipei Denim Ltd.</t>
  </si>
  <si>
    <t>Mr. Aziz</t>
  </si>
  <si>
    <t>Mr. Imam</t>
  </si>
  <si>
    <t>01947-839000</t>
  </si>
  <si>
    <t>Nassa Taipei Textile Mills Ltd.</t>
  </si>
  <si>
    <t>Nassa Spinning Ltd</t>
  </si>
  <si>
    <t>National Development Engineers Ltd</t>
  </si>
  <si>
    <t>Navana LPG Ltd.</t>
  </si>
  <si>
    <t>Mr. Shebly Rahman</t>
  </si>
  <si>
    <t>01701-200305</t>
  </si>
  <si>
    <t>NDE Ready Mix Concrete Ltd.</t>
  </si>
  <si>
    <t xml:space="preserve">Brunus Chiran </t>
  </si>
  <si>
    <t>01708-805260</t>
  </si>
  <si>
    <t>Neo Ventures Ltd.</t>
  </si>
  <si>
    <t>Mr. Abu Nasir</t>
  </si>
  <si>
    <t>01819-298046</t>
  </si>
  <si>
    <t>Salek Textile Ltd.</t>
  </si>
  <si>
    <t xml:space="preserve">Abdullah Al Rabbi </t>
  </si>
  <si>
    <t>01709-998886</t>
  </si>
  <si>
    <t xml:space="preserve">Knit Asia Ltd </t>
  </si>
  <si>
    <t>Mr. hedayet</t>
  </si>
  <si>
    <t>01711-299403</t>
  </si>
  <si>
    <t>Salek Textile Ltd. (Rotor)</t>
  </si>
  <si>
    <t>Mr. Uttam Ghosh</t>
  </si>
  <si>
    <t>Rahim Textile Mills Ltd</t>
  </si>
  <si>
    <t>JM Fabrics Ltd.</t>
  </si>
  <si>
    <t>Mr. Mehedi Hasan Rumi</t>
  </si>
  <si>
    <t>01329-739550</t>
  </si>
  <si>
    <t>Md. Sazzad</t>
  </si>
  <si>
    <t>01711-299639</t>
  </si>
  <si>
    <t>Malek Spinning Mills Ltd.</t>
  </si>
  <si>
    <t>Mst. Sadiya</t>
  </si>
  <si>
    <t>Aurum Sweater Ltd.</t>
  </si>
  <si>
    <t>New Grameen Motors</t>
  </si>
  <si>
    <t>Mr. Imran</t>
  </si>
  <si>
    <t>01671-742072</t>
  </si>
  <si>
    <t>NEWAGE TEXTILES LIMITED</t>
  </si>
  <si>
    <t>Mr. Salauddin</t>
  </si>
  <si>
    <t>01713-438947</t>
  </si>
  <si>
    <t>Noman Composite Textile Ltd</t>
  </si>
  <si>
    <t>Muhid</t>
  </si>
  <si>
    <t>Noman Textile Mills Ltd.</t>
  </si>
  <si>
    <t>Talha Spinning Mills Ltd.</t>
  </si>
  <si>
    <t>Noman Spinning Mills Ltd.</t>
  </si>
  <si>
    <t>Zarba Textile Mills Ltd.</t>
  </si>
  <si>
    <t>Ismail Textile Mills Ltd.</t>
  </si>
  <si>
    <t>Zaber Spinning Mils Ltd.</t>
  </si>
  <si>
    <t>Zaber Spinning Mills Ltd.</t>
  </si>
  <si>
    <t>Nice Synthetic Mills ltd.</t>
  </si>
  <si>
    <t>Saad Saan Textile Mills Ltd.</t>
  </si>
  <si>
    <t>Noman Terry Towel Mills Ltd.</t>
  </si>
  <si>
    <t>Zubair Spinning Mills Ltd.</t>
  </si>
  <si>
    <t>Yasmin Spinning Mills Ltd</t>
  </si>
  <si>
    <t>Noman Weaving Mills Ltd.</t>
  </si>
  <si>
    <t xml:space="preserve">Noman Textile Mills Limited </t>
  </si>
  <si>
    <t>Yasmin Spinning Mills Ltd.</t>
  </si>
  <si>
    <t>Zaber &amp; Zubair Fabrics ltd.-Home</t>
  </si>
  <si>
    <t>Noman Composite Textile Limited</t>
  </si>
  <si>
    <t>Zaber Spinning Mills Limited</t>
  </si>
  <si>
    <t>Zaber &amp; Zubair Accessories Limited</t>
  </si>
  <si>
    <t>Salman</t>
  </si>
  <si>
    <t>01755-581631</t>
  </si>
  <si>
    <t>Zaber &amp; Zubair Fabrics Limited - Fashion</t>
  </si>
  <si>
    <t>Zubair Spinning Mills Ltd</t>
  </si>
  <si>
    <t xml:space="preserve">Zarba Textile Mills Ltd </t>
  </si>
  <si>
    <t>NICE SPUN MILLS LIMITED</t>
  </si>
  <si>
    <t>Yasmin Spinning Mills Limited</t>
  </si>
  <si>
    <t>Talha Fabrics Limited</t>
  </si>
  <si>
    <t xml:space="preserve">Noman Terry Towel Mills Limited </t>
  </si>
  <si>
    <t>Nice Spinning Mills Ltd.</t>
  </si>
  <si>
    <t>Noman Textile Mills Limited</t>
  </si>
  <si>
    <t>Noman Terry Towel Mills Limited</t>
  </si>
  <si>
    <t>Ismail Textile Mills Limited</t>
  </si>
  <si>
    <t>Ismail Anjuman Ara Fabrics Limited</t>
  </si>
  <si>
    <t>Talha Texpro Limited</t>
  </si>
  <si>
    <t>Noman Fabrics Limited</t>
  </si>
  <si>
    <t>Noman Spinning Mills Limited</t>
  </si>
  <si>
    <t>Nice Spun Mills Limited</t>
  </si>
  <si>
    <t>Artex Fabrics Limited</t>
  </si>
  <si>
    <t>Sufia Fabrics Limited</t>
  </si>
  <si>
    <t>Talha Spinning Mills Limited</t>
  </si>
  <si>
    <t>Nice Spinning Mills Ltd</t>
  </si>
  <si>
    <t>Suman</t>
  </si>
  <si>
    <t>01318-392988</t>
  </si>
  <si>
    <t>Nice Denim Mills Limited</t>
  </si>
  <si>
    <t>Rashed</t>
  </si>
  <si>
    <t>01755-639553</t>
  </si>
  <si>
    <t>Noman Composite Textile Mills Ltd</t>
  </si>
  <si>
    <t>Sakib</t>
  </si>
  <si>
    <t>01701-212568</t>
  </si>
  <si>
    <t>Nice Synthetic Yarn Mills Limited</t>
  </si>
  <si>
    <t>Zarba Textile Mills Limited</t>
  </si>
  <si>
    <t>Nova Associate</t>
  </si>
  <si>
    <t>Mr. Rony</t>
  </si>
  <si>
    <t>01720-110099</t>
  </si>
  <si>
    <t>Omera Petroleum Limited</t>
  </si>
  <si>
    <t>Mr. Wasir Tamim</t>
  </si>
  <si>
    <t>01324-298352</t>
  </si>
  <si>
    <t>Mr. Anwarul</t>
  </si>
  <si>
    <t>01787-690404</t>
  </si>
  <si>
    <t>Pakiza Cotton Spinning Mills</t>
  </si>
  <si>
    <t>Mr. Saddam</t>
  </si>
  <si>
    <t>01681-779754</t>
  </si>
  <si>
    <t>Pakiza Knit Composite Ltd</t>
  </si>
  <si>
    <t>Mr. Mahabub</t>
  </si>
  <si>
    <t>01787-650933</t>
  </si>
  <si>
    <t>Momtex Expo Ltd</t>
  </si>
  <si>
    <t>Md. Baker</t>
  </si>
  <si>
    <t>01770-534008</t>
  </si>
  <si>
    <t>PAKIZA APPARELS LIMITED</t>
  </si>
  <si>
    <t>Chittagong Feed Ltd</t>
  </si>
  <si>
    <t>Mr. Mehedi</t>
  </si>
  <si>
    <t>Moynamoti Hatchery Ltd.</t>
  </si>
  <si>
    <t>Paragon Poultry Ltd.</t>
  </si>
  <si>
    <t>Mr. Jamir</t>
  </si>
  <si>
    <t>01920-030333</t>
  </si>
  <si>
    <t>Chittagong Chicks Limited</t>
  </si>
  <si>
    <t>Shalbahan Farms Limited</t>
  </si>
  <si>
    <t>Paragon Feed Ltd.</t>
  </si>
  <si>
    <t>Rangpur Poultry Limited</t>
  </si>
  <si>
    <t>Mr. Monjurul</t>
  </si>
  <si>
    <t>01313-763145</t>
  </si>
  <si>
    <t>Aqua Breeders Limited</t>
  </si>
  <si>
    <t>Paragon Agro Ltd.</t>
  </si>
  <si>
    <t>Jessore Feed Ltd</t>
  </si>
  <si>
    <t>Mr. Atik</t>
  </si>
  <si>
    <t>01324-723829</t>
  </si>
  <si>
    <t>Paragon Plast Fiber Limited</t>
  </si>
  <si>
    <t xml:space="preserve">Mr. Rashedul </t>
  </si>
  <si>
    <t>01729-061496</t>
  </si>
  <si>
    <t>Paragon House</t>
  </si>
  <si>
    <t>MOYNAMOTI HATCHERY LTD.</t>
  </si>
  <si>
    <t>Paragon Plastics Ltd</t>
  </si>
  <si>
    <t>Mr. Rayhan</t>
  </si>
  <si>
    <t>01324-413227</t>
  </si>
  <si>
    <t>Bay Chicks Limited</t>
  </si>
  <si>
    <t>Usha Poultry Ltd.</t>
  </si>
  <si>
    <t>DENM POULTRY COMPLEX (PVT.) LTD.</t>
  </si>
  <si>
    <t>01324-413205</t>
  </si>
  <si>
    <t>Paragon Agro Ltd. (Hajinagar Tea Estate)</t>
  </si>
  <si>
    <t>Paragon Agro Ltd. (Compost Plant Sagordhigi)</t>
  </si>
  <si>
    <t>PARAGON AGRO LIMITED</t>
  </si>
  <si>
    <t>Mr. Towhid</t>
  </si>
  <si>
    <t>01329-745461</t>
  </si>
  <si>
    <t>Paragon Feed Ltd</t>
  </si>
  <si>
    <t>Mr. Sohel Rana</t>
  </si>
  <si>
    <t>Parasole Footwear Limited</t>
  </si>
  <si>
    <t>PARAGON AGRO LIMITED (GP)</t>
  </si>
  <si>
    <t>Mr. Fahad</t>
  </si>
  <si>
    <t>01332-804848</t>
  </si>
  <si>
    <t>FATEHBAGH TEA COMPANY LIMITED.</t>
  </si>
  <si>
    <t xml:space="preserve">CHITTAGONG FEED LTD </t>
  </si>
  <si>
    <t>01313-714985</t>
  </si>
  <si>
    <t xml:space="preserve">PARAGON AGRO LIMITED </t>
  </si>
  <si>
    <t>Mr. Rokibul</t>
  </si>
  <si>
    <t>01844-142321</t>
  </si>
  <si>
    <t>01787-688674</t>
  </si>
  <si>
    <t xml:space="preserve">Mr. Maksudur  </t>
  </si>
  <si>
    <t>PETROMAX CYLINDERS LIMITED.</t>
  </si>
  <si>
    <t>01621-569200</t>
  </si>
  <si>
    <t>Crystal Palace (L-12), House : SE(D) 22, Road 140, Gulshan 1, Dhaka 1212, Bangladesh</t>
  </si>
  <si>
    <t>Petromax LPG Limited</t>
  </si>
  <si>
    <t>Mr. Puja Das Gupta</t>
  </si>
  <si>
    <t>01332-817309</t>
  </si>
  <si>
    <t>Power Technology and Automation</t>
  </si>
  <si>
    <t>Mr. Adnan</t>
  </si>
  <si>
    <t>01766-497036</t>
  </si>
  <si>
    <t>147/Ka, Monipure Para, Firmgate; Tejgaon PS; Dhaka-1215; Bangladesh</t>
  </si>
  <si>
    <t>RAK CERAMICS (BANGLADESH) LTD.</t>
  </si>
  <si>
    <t>Mr. Sanaul Islam</t>
  </si>
  <si>
    <t>01920-702016</t>
  </si>
  <si>
    <t>RAK Tower, Plot # 1/A, Jasimuddin Ave, Sector 3, Uttara, Dhaka-1230</t>
  </si>
  <si>
    <t>R.A.K. POWER PVT. LTD.</t>
  </si>
  <si>
    <t xml:space="preserve">Rancon Automobiles Ltd </t>
  </si>
  <si>
    <t>Mr. Sahriar</t>
  </si>
  <si>
    <t>01313-021676</t>
  </si>
  <si>
    <t>387 Tejgaon I/A, Dhaka 1208</t>
  </si>
  <si>
    <t>DHS Commercial Vehicles Limited</t>
  </si>
  <si>
    <t>Rancon Autos Ltd</t>
  </si>
  <si>
    <t>Rancon Trucks &amp; Buses Ltd (Hasanuzzaman)</t>
  </si>
  <si>
    <t>Mr. Hasan</t>
  </si>
  <si>
    <t>01713-055837</t>
  </si>
  <si>
    <t xml:space="preserve">Rangs Properties Limited </t>
  </si>
  <si>
    <t>Mr. Sieam</t>
  </si>
  <si>
    <t>01713-142087</t>
  </si>
  <si>
    <t>Rangs Babylonia, 246, Bir Uttam Mir Shawkat Sarak, Tejgaon, Dhaka-1208</t>
  </si>
  <si>
    <t>RANGS WORKSHOP LIMITED CTG</t>
  </si>
  <si>
    <t xml:space="preserve">Md. Zihadul </t>
  </si>
  <si>
    <t>01713-142069</t>
  </si>
  <si>
    <t>03, CDA Avenue, Sholoshahar, Chattogram</t>
  </si>
  <si>
    <t>RANGS WORKSHOP LIMITED</t>
  </si>
  <si>
    <t>Md. Ashique Imam</t>
  </si>
  <si>
    <t>01730-089036</t>
  </si>
  <si>
    <t>Robintex (Bangladesh) Ltd.</t>
  </si>
  <si>
    <t>Mr. Ziaur Rahman</t>
  </si>
  <si>
    <t>01819-815688</t>
  </si>
  <si>
    <t>Vulta, Rupganj, Narayanganj, Bangladesh</t>
  </si>
  <si>
    <t>Comptex Bangladesh Ltd.</t>
  </si>
  <si>
    <t>Runner Motors Limited</t>
  </si>
  <si>
    <t>Mr. Arif</t>
  </si>
  <si>
    <t>01764-459382</t>
  </si>
  <si>
    <t>138/1, Tejgaon Industrial Area, Dhaka-1208</t>
  </si>
  <si>
    <t>Saad Textile Processing Limited</t>
  </si>
  <si>
    <t>Gawsia Kashem Center (1st,2nd &amp; 10th Floor) 10/2 Arambag, Motijheel, Dhaka-1000, Bangladesh</t>
  </si>
  <si>
    <t>Nice Denim Mills Ltd.</t>
  </si>
  <si>
    <t>Ismail Spinning Mills Ltd.</t>
  </si>
  <si>
    <t>Yasmin Textile Mills Ltd.</t>
  </si>
  <si>
    <t>Noman Home Textile Mills Ltd.</t>
  </si>
  <si>
    <t>Yasmin Textile Mills Limited</t>
  </si>
  <si>
    <t>Saad Textile processing Ltd.</t>
  </si>
  <si>
    <t>SAMAH RAZOR BLADES INDUSTRIES LIMITED</t>
  </si>
  <si>
    <t>Mr. Farhad</t>
  </si>
  <si>
    <t>01708-494428</t>
  </si>
  <si>
    <t>ABC House (9th floor), 8, Kemal Ataturk Avenue, Banani C. A., Dhaka-1213.</t>
  </si>
  <si>
    <t>Samuda Spec Chem Limited</t>
  </si>
  <si>
    <t>Mr. Shohidul</t>
  </si>
  <si>
    <t>01325-071295</t>
  </si>
  <si>
    <t>T.K. Bhaban, 13, Karwan Bazar, Dhaka-1215</t>
  </si>
  <si>
    <t>Samuda chemical Complex Ltd.</t>
  </si>
  <si>
    <t xml:space="preserve">Mr. Musabbir </t>
  </si>
  <si>
    <t>01799-992813</t>
  </si>
  <si>
    <t>Samuda Chemical Complex Ltd. (CTG)</t>
  </si>
  <si>
    <t>SPL Petrochemical Complex Ltd</t>
  </si>
  <si>
    <t>Mr. Shakhawat</t>
  </si>
  <si>
    <t>01799-992775</t>
  </si>
  <si>
    <t>Samuda Trade Center, 91, Agrabad C/A, Chattogram</t>
  </si>
  <si>
    <t>Samuda Constrution Ltd.</t>
  </si>
  <si>
    <t>Super Petro Chemical Ltd.</t>
  </si>
  <si>
    <t>Shakhawat</t>
  </si>
  <si>
    <t>M/S Sharif And Brothers</t>
  </si>
  <si>
    <t>01711-544269</t>
  </si>
  <si>
    <t>63, Purana Paltan, Dhaka-1000</t>
  </si>
  <si>
    <t>Tamishna Dyeing Indst. Ltd</t>
  </si>
  <si>
    <t>Abdul Kashem</t>
  </si>
  <si>
    <t>01722-609576</t>
  </si>
  <si>
    <t>65, Shah Maghdum Avenue, Sector-12, Uttara, Dhaka-1230, Bangladesh</t>
  </si>
  <si>
    <t>Etafil Accessories Ltd</t>
  </si>
  <si>
    <t>Thermax Spinning Ltd</t>
  </si>
  <si>
    <t>Mr. Nokib</t>
  </si>
  <si>
    <t>01723-962626</t>
  </si>
  <si>
    <t>Green City Edge, 89 Kakrail C/A, Dhaka-1000, Bangladesh</t>
  </si>
  <si>
    <t>Thermax Knit Yarn Ltd</t>
  </si>
  <si>
    <t>Shabnam Vegetable Oil lndustries Ltd.</t>
  </si>
  <si>
    <t>01730-784805</t>
  </si>
  <si>
    <t xml:space="preserve">Super Formica &amp; lamination Ltd. </t>
  </si>
  <si>
    <t>Golam Dastagir</t>
  </si>
  <si>
    <t>01321-133715</t>
  </si>
  <si>
    <t>Prime Pusti Ltd.</t>
  </si>
  <si>
    <t>Hafiz</t>
  </si>
  <si>
    <t>01329-710164</t>
  </si>
  <si>
    <t>Super Oil Refinery Limited</t>
  </si>
  <si>
    <t>Mr. Rokon</t>
  </si>
  <si>
    <t>01994-182639</t>
  </si>
  <si>
    <t>T.K. Food Products Distribution Limited</t>
  </si>
  <si>
    <t>Imran Mazhary</t>
  </si>
  <si>
    <t>01894-802767</t>
  </si>
  <si>
    <t>Green Board &amp; Fibre Mills Ltd</t>
  </si>
  <si>
    <t>Imrul Kayes</t>
  </si>
  <si>
    <t>01635-100877</t>
  </si>
  <si>
    <t>Prime Cosmetics Ltd.</t>
  </si>
  <si>
    <t>Delta LPG Limited</t>
  </si>
  <si>
    <t>Arafat</t>
  </si>
  <si>
    <t>01729-062947</t>
  </si>
  <si>
    <t>RUPSHA EDIBLE OIL REFINERY LIMITED</t>
  </si>
  <si>
    <t xml:space="preserve">DELTA AGROFOOD INDUSTRIES LIMITED </t>
  </si>
  <si>
    <t>Abul Khair Group, D.T. Road, Pahartali, Chattogram</t>
  </si>
  <si>
    <t>US-Bangla Airlines Ltd.</t>
  </si>
  <si>
    <t>Mr. Golam</t>
  </si>
  <si>
    <t>01730-018677</t>
  </si>
  <si>
    <t>77, Sohrawardi Avenue, Baridhara Diplomatic Zone, Dhaka-1212</t>
  </si>
  <si>
    <t>Uttara Motors Limited</t>
  </si>
  <si>
    <t>01726-848887</t>
  </si>
  <si>
    <t>102, Shaheed Tajuddin Ahmed Sarani, Tejgaon I/A, Dhaka-1208</t>
  </si>
  <si>
    <t>Trans Asia Industries Ltd.</t>
  </si>
  <si>
    <t xml:space="preserve">Mr. Rayhan </t>
  </si>
  <si>
    <t>01724-930621</t>
  </si>
  <si>
    <t>Walton Hi-Tech Industries PLC.</t>
  </si>
  <si>
    <t>01686-695530</t>
  </si>
  <si>
    <t>Walton Corporate Office, Plot-1088, Block-I, Bashundhara R/A, Dhaka</t>
  </si>
  <si>
    <t>Walton Digi-Tech Industries Ltd</t>
  </si>
  <si>
    <t>Mr. Monsur Ali</t>
  </si>
  <si>
    <t>01678-863676</t>
  </si>
  <si>
    <t>DREAM PARK INTERNATIONAL</t>
  </si>
  <si>
    <t>Mr. RAFAYET NAHIN</t>
  </si>
  <si>
    <t>Walton Micro-Tech Corporation</t>
  </si>
  <si>
    <t>01633-794341</t>
  </si>
  <si>
    <t>Walton Plaza</t>
  </si>
  <si>
    <t>Mr. Sohel</t>
  </si>
  <si>
    <t>01686-694397</t>
  </si>
  <si>
    <t xml:space="preserve">YUNUSCO (BD) LIMITED </t>
  </si>
  <si>
    <t>Mr. Walid</t>
  </si>
  <si>
    <t>01755-555725</t>
  </si>
  <si>
    <t>Yunusco Complex, 28/A, Naya Paltan, VIP Road, Dhaka-1000</t>
  </si>
  <si>
    <t>Bashundhara Industrial HQ-2, Plot-56/A, Block-C, Umme Kulsum Road, Bashundhara R/A, Dhaka-1229</t>
  </si>
  <si>
    <t>314/A, CDA Avenue, Muradpur, Chattogram</t>
  </si>
  <si>
    <t>ACI Centre, 245 Tejgaon Industrial Area, Dhaka-1208</t>
  </si>
  <si>
    <t>Tetlabo,Word No:03 Rupgonj Narayangonj, 1460</t>
  </si>
  <si>
    <t>Anlima Tower, 25/2, Mymensingh Road, Shahbag, Dhaka-1000</t>
  </si>
  <si>
    <t>Baitul Hossain Building, 27 Dilkusha C/A, Dhaka-1000</t>
  </si>
  <si>
    <t>House # 13, Road # 07, Sector # 01, Uttara, Dhaka-1230</t>
  </si>
  <si>
    <t>Apex Centre, 39-40/A, Haranath Ghosh Road, Lalbagh, Dhaka-1211</t>
  </si>
  <si>
    <t>18 Gulshan Avenue, Shanta Skymark, Gulshan,Dhaka-1212</t>
  </si>
  <si>
    <t>Tropikana Tower (8th floor), 45 Topkhana Road, Dhaka-1000</t>
  </si>
  <si>
    <t>Giant Business Tower, Plot-3, Uttara, Dhaka-1230</t>
  </si>
  <si>
    <t>House # 315, Road # 21, Mohakhali DOHS, Dhaka</t>
  </si>
  <si>
    <t>Bengal House, 75 Gulshan Avenue, Gulshan-1, Dhaka</t>
  </si>
  <si>
    <t>01704-161920</t>
  </si>
  <si>
    <t>19 Dhanmondi R/A, Road No. 7, Dhaka-1205</t>
  </si>
  <si>
    <t>Ali Mansion, 1207/1099 Sadarghat Road, Chattogram</t>
  </si>
  <si>
    <t>House 13/A, Road 136, Gulshan-1, Dhaka</t>
  </si>
  <si>
    <t>House 4, Road 13, Sector 1, Uttara, Dhaka</t>
  </si>
  <si>
    <t>2/4, Humayun Road, Block-B, Mohammadpur, Dhaka</t>
  </si>
  <si>
    <t>125/A, Old Airport Road, Senpara Parbata, Mirpur, Dhaka</t>
  </si>
  <si>
    <t>Energy Point, 219 Tejgaon I/A, Dhaka-1208</t>
  </si>
  <si>
    <t>01708-454346</t>
  </si>
  <si>
    <t>01708-154073</t>
  </si>
  <si>
    <t>01730-010267</t>
  </si>
  <si>
    <t>Mobil House, Gulshan Avenue, Dhaka-1212, Bangladesh.</t>
  </si>
  <si>
    <t>Paragon House, 5 Mohakhali C/A, Dhaka-1212, Bangladesh.</t>
  </si>
  <si>
    <t xml:space="preserve"> Energy Center, 25, Tejgaon, I/A, Dhaka-1208</t>
  </si>
  <si>
    <t xml:space="preserve"> Energy Center, 25, Tejgaon, I/A, Dhaka-1209</t>
  </si>
  <si>
    <t xml:space="preserve"> Energy Center, 25, Tejgaon, I/A, Dhaka-1210</t>
  </si>
  <si>
    <t xml:space="preserve"> Energy Center, 25, Tejgaon, I/A, Dhaka-1211</t>
  </si>
  <si>
    <t xml:space="preserve"> Energy Center, 25, Tejgaon, I/A, Dhaka-1212</t>
  </si>
  <si>
    <t>TCB Building, 1 Hatirjheel Link Rd 2, Dhaka 1215</t>
  </si>
  <si>
    <t>37/2, Bir Protik Gazi Dastagir Road Purana Paltan, Dhaka-1000 Bangladesh</t>
  </si>
  <si>
    <t xml:space="preserve"> Monipur, Bhabanipur, Gazipur Sadar, GAZIPUR, BANGLADESH</t>
  </si>
  <si>
    <t>Symphony (6th Floor), Plot SE (F) 9, Road 142, Gulshan Avenue (South), Dhaka 1212</t>
  </si>
  <si>
    <t>Concord Silvy Heights, (7 th Floor),Road # 30 Gulshan Avenue, Dhaka-1212.</t>
  </si>
  <si>
    <t>Suite # A-200, 47 Motijheel C/A, Dhaka-1000</t>
  </si>
  <si>
    <t>Suite # A-200, 47 Motijheel C/A, Dhaka-1001</t>
  </si>
  <si>
    <t>Suite # A-200, 47 Motijheel C/A, Dhaka-1002</t>
  </si>
  <si>
    <t>Suite # A-200, 47 Motijheel C/A, Dhaka-1003</t>
  </si>
  <si>
    <t>Suite # A-200, 47 Motijheel C/A, Dhaka-1004</t>
  </si>
  <si>
    <t>Suite # A-200, 47 Motijheel C/A, Dhaka-1005</t>
  </si>
  <si>
    <t>Green Orlando (8th Floor), Plot#KA 42-4,Progati Sharani, Dhaka-1229</t>
  </si>
  <si>
    <t>36, Shahid Tajuddin Ahmed Sarani, Tejgaon</t>
  </si>
  <si>
    <t>Nina Kabbo, Level-7, 227/A Bir Uttam Mir Shawkat Sarak (Gulshan Tejgaon Link Road), Tejgaon Dhaka -1208</t>
  </si>
  <si>
    <t>107 khan Mansion , Motijheel C/A, Dhaka- 1000, Bangladesh.</t>
  </si>
  <si>
    <t>United Tower 262-263 Bangshal Road Dhaka, Dhaka, 1100 Bangladesh</t>
  </si>
  <si>
    <t xml:space="preserve"> 64/A, Buddhijibi Munir Chowdhury Sharak (Central Road)Dhanmondi, Dhaka 1205</t>
  </si>
  <si>
    <t>Arhams Tower Plot-79, Dhaka Mymensingh Highway, Sector-7, Uttara, Dhaka-1230, Bangladesh.</t>
  </si>
  <si>
    <t>B 147, Road 22, Mohakhali DOHS, Dhaka 1206</t>
  </si>
  <si>
    <t>Red Crescent Borak Tower (Level-7) 37/3A, Easkaton Garden Road, Dhaka-1000, Bangladesh</t>
  </si>
  <si>
    <t>Plot 6, Road 93 Gulshan North Avenue Dhaka, Dhaka, 1212</t>
  </si>
  <si>
    <t>85, Suhrawardy Avenue, Baridhara, Dhaka 1212, Bangladesh</t>
  </si>
  <si>
    <t>238 Bir Uttam Mir Shawkat Sarak Tejgaon Industrial Area Dhaka-1208</t>
  </si>
  <si>
    <t>239 Bir Uttam Mir Shawkat Sarak Tejgaon Industrial Area Dhaka-1208</t>
  </si>
  <si>
    <t>240 Bir Uttam Mir Shawkat Sarak Tejgaon Industrial Area Dhaka-1208</t>
  </si>
  <si>
    <t>241 Bir Uttam Mir Shawkat Sarak Tejgaon Industrial Area Dhaka-1208</t>
  </si>
  <si>
    <t>242 Bir Uttam Mir Shawkat Sarak Tejgaon Industrial Area Dhaka-1208</t>
  </si>
  <si>
    <t>243 Bir Uttam Mir Shawkat Sarak Tejgaon Industrial Area Dhaka-1208</t>
  </si>
  <si>
    <t>244 Bir Uttam Mir Shawkat Sarak Tejgaon Industrial Area Dhaka-1208</t>
  </si>
  <si>
    <t>NDE House, House #22, Road #4, Block #C, Banani, Dhaka, Bangladesh.</t>
  </si>
  <si>
    <t>Navana LPG Ltd., 214/D Bir Uttam Mir Shawkat Sarak, Dhaka</t>
  </si>
  <si>
    <t xml:space="preserve">706 West Nakhalpara Tejgaon. </t>
  </si>
  <si>
    <t>117/A, Tejgaon Industrial Area Dhaka 1208, Bangladesh</t>
  </si>
  <si>
    <t xml:space="preserve"> JCX Business Tower, 13th Floor, Plot- 1136/A, Japan Street, Block # I, Bashundhara Residential Area, Dhaka-1229, Bangladesh</t>
  </si>
  <si>
    <t xml:space="preserve"> 42/I, Indira Road, Dhaka - 1215, Bangladesh </t>
  </si>
  <si>
    <t>Rupayun Golden Age Plot-6, Block - CWN (C), Road #37, 99, (3rd floor), Gulshan Avenue, Dhaka-1212</t>
  </si>
  <si>
    <t>192 Shahid Sayed Nazrul Islam Swarani, 5 Bijoy Nagar Road, Dhaka</t>
  </si>
  <si>
    <t>House# 97, Road# 11/A Dhanmondi, Dhaka-1209, Bangladesh</t>
  </si>
  <si>
    <t>Level-6, SKS Tower, 7 VIP Road Mohakhali, Dhaka</t>
  </si>
  <si>
    <t>01777-936190</t>
  </si>
  <si>
    <t>01818-869808</t>
  </si>
  <si>
    <t>01683-103916</t>
  </si>
  <si>
    <t>01713-288716</t>
  </si>
  <si>
    <t>01313-763210</t>
  </si>
  <si>
    <t>01713-553280</t>
  </si>
  <si>
    <t>01881-339758</t>
  </si>
  <si>
    <t>Brand</t>
  </si>
  <si>
    <t>Type</t>
  </si>
  <si>
    <t>Post</t>
  </si>
  <si>
    <t>Volt</t>
  </si>
  <si>
    <t>AH</t>
  </si>
  <si>
    <t>Plate</t>
  </si>
  <si>
    <t>Warranty</t>
  </si>
  <si>
    <t>Retail price with VAT</t>
  </si>
  <si>
    <t>Offer Without VAT</t>
  </si>
  <si>
    <t>VAT
(15%)</t>
  </si>
  <si>
    <t>Special Offer  
With VAT</t>
  </si>
  <si>
    <t>GBT ACE EFB</t>
  </si>
  <si>
    <t>G ACE NS60L/N55L</t>
  </si>
  <si>
    <t>I</t>
  </si>
  <si>
    <t>N/A</t>
  </si>
  <si>
    <t>SMF</t>
  </si>
  <si>
    <t>24M</t>
  </si>
  <si>
    <t>G ACE 55D23L/Q85L</t>
  </si>
  <si>
    <t>G ACE N50ZL/S95L</t>
  </si>
  <si>
    <t>G ACE NX120-7/L/T110/L</t>
  </si>
  <si>
    <t>G ACE LN1-44L/DIN44L</t>
  </si>
  <si>
    <t>G ACE LN2-55L/DIN55L</t>
  </si>
  <si>
    <t>G ACE LN3-66L/DIN66L</t>
  </si>
  <si>
    <t>G ACE LN4-80L/DIN80L</t>
  </si>
  <si>
    <t>G ACE LN4-92L/DIN92L</t>
  </si>
  <si>
    <t>Globatt Race</t>
  </si>
  <si>
    <t>G Race NS40Z</t>
  </si>
  <si>
    <t>18M</t>
  </si>
  <si>
    <t>G Race NS60L</t>
  </si>
  <si>
    <t>G Race N50ZL</t>
  </si>
  <si>
    <t>G Race NS70/L</t>
  </si>
  <si>
    <t>G Race NX120-7/L</t>
  </si>
  <si>
    <t>Spark Energy</t>
  </si>
  <si>
    <t>SS TX40ZL(Wet)</t>
  </si>
  <si>
    <t>LM</t>
  </si>
  <si>
    <t>12M</t>
  </si>
  <si>
    <t>SE NS40ZL</t>
  </si>
  <si>
    <t>SE NS60L</t>
  </si>
  <si>
    <t>SE N50ZL</t>
  </si>
  <si>
    <t>SE NS70/L</t>
  </si>
  <si>
    <t>SE N70Z</t>
  </si>
  <si>
    <t>SE NX120-7/L</t>
  </si>
  <si>
    <t>Spark Runner</t>
  </si>
  <si>
    <t>SR15</t>
  </si>
  <si>
    <t>L</t>
  </si>
  <si>
    <t>SR17/RP</t>
  </si>
  <si>
    <t>SR21</t>
  </si>
  <si>
    <t>SR27</t>
  </si>
  <si>
    <t>SR29</t>
  </si>
  <si>
    <t>Spark XP</t>
  </si>
  <si>
    <t>XP50</t>
  </si>
  <si>
    <t>XP70</t>
  </si>
  <si>
    <t>XP100</t>
  </si>
  <si>
    <t>XP120</t>
  </si>
  <si>
    <t>XP135</t>
  </si>
  <si>
    <t>XP150</t>
  </si>
  <si>
    <t>XP165</t>
  </si>
  <si>
    <t>XP200</t>
  </si>
  <si>
    <t>Rahimafrooz TFB</t>
  </si>
  <si>
    <t>RA TFB150</t>
  </si>
  <si>
    <t>30M</t>
  </si>
  <si>
    <t>RA TFB200</t>
  </si>
  <si>
    <t>Lucas Ultima</t>
  </si>
  <si>
    <t>ULT NS40Z/L</t>
  </si>
  <si>
    <t>ULT NS60/S/L</t>
  </si>
  <si>
    <t>ULT N50Z/L</t>
  </si>
  <si>
    <t>ULT NS70/L</t>
  </si>
  <si>
    <t>ULT N70Z/L</t>
  </si>
  <si>
    <t>ULT NX120-7/L</t>
  </si>
  <si>
    <t>ULT G 54434/DIN 44L</t>
  </si>
  <si>
    <t>ULT G 55530/DIN 55L</t>
  </si>
  <si>
    <t>ULT G 56618/DIN 66L</t>
  </si>
  <si>
    <t>ULT G 58815/DIN 80L</t>
  </si>
  <si>
    <t>ULT G 58815/DIN 88L</t>
  </si>
  <si>
    <t>ULT G 60038/DIN 100L</t>
  </si>
  <si>
    <t>Lucas Winner</t>
  </si>
  <si>
    <t>PCM15</t>
  </si>
  <si>
    <t>15M</t>
  </si>
  <si>
    <t>PCM17</t>
  </si>
  <si>
    <t>PCM21</t>
  </si>
  <si>
    <t>PCM25</t>
  </si>
  <si>
    <t>PCM27</t>
  </si>
  <si>
    <t>PCM29</t>
  </si>
  <si>
    <t>Lucas Advance</t>
  </si>
  <si>
    <t>Adv LA17-N100</t>
  </si>
  <si>
    <t>MF</t>
  </si>
  <si>
    <t>Adv LA19-NS120</t>
  </si>
  <si>
    <t>Adv LA21-N120</t>
  </si>
  <si>
    <t>Adv LA27-N150</t>
  </si>
  <si>
    <t>Adv LA27-N180</t>
  </si>
  <si>
    <t>Adv LA29-N200</t>
  </si>
  <si>
    <t>Lucas Giga</t>
  </si>
  <si>
    <t>Giga N100</t>
  </si>
  <si>
    <t>Giga N100Z</t>
  </si>
  <si>
    <t>Giga N120</t>
  </si>
  <si>
    <t>Giga N150</t>
  </si>
  <si>
    <t>Giga N200</t>
  </si>
  <si>
    <t>Lucas Appliance</t>
  </si>
  <si>
    <t>AP50</t>
  </si>
  <si>
    <t>AP70</t>
  </si>
  <si>
    <t>AP100</t>
  </si>
  <si>
    <t>AP120</t>
  </si>
  <si>
    <t>AP150</t>
  </si>
  <si>
    <t>AP200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</si>
</sst>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&lt;=9999999]###\-####;\(###\)\ ###\-####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rgb="FF000000"/>
      <name val="Calibri"/>
      <family val="2"/>
    </font>
    <font>
      <sz val="16"/>
      <color rgb="FF000000"/>
      <name val="Times New Roman"/>
      <family val="1"/>
    </font>
    <font>
      <sz val="18"/>
      <color rgb="FF000000"/>
      <name val="Times New Roman"/>
      <family val="1"/>
    </font>
    <font>
      <sz val="16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43" fontId="8" fillId="0" borderId="0" applyFont="0" applyFill="0" applyBorder="0" applyAlignment="0" applyProtection="0"/>
  </cellStyleXfs>
  <cellXfs count="63">
    <xf numFmtId="0" fontId="0" fillId="0" borderId="0" xfId="0"/>
    <xf numFmtId="0" fontId="3" fillId="2" borderId="1" xfId="2" applyFont="1" applyFill="1" applyBorder="1" applyAlignment="1">
      <alignment horizontal="left" vertical="center"/>
    </xf>
    <xf numFmtId="164" fontId="3" fillId="2" borderId="1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164" fontId="0" fillId="2" borderId="0" xfId="0" applyNumberFormat="1" applyFill="1"/>
    <xf numFmtId="0" fontId="4" fillId="0" borderId="2" xfId="3" applyFont="1" applyBorder="1"/>
    <xf numFmtId="0" fontId="5" fillId="0" borderId="0" xfId="3" applyFont="1" applyBorder="1" applyAlignment="1">
      <alignment horizontal="center" vertical="center"/>
    </xf>
    <xf numFmtId="165" fontId="5" fillId="0" borderId="0" xfId="3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4" fillId="0" borderId="0" xfId="3" applyFont="1"/>
    <xf numFmtId="0" fontId="6" fillId="0" borderId="2" xfId="3" applyFont="1" applyBorder="1" applyAlignment="1">
      <alignment vertical="center"/>
    </xf>
    <xf numFmtId="0" fontId="7" fillId="0" borderId="1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165" fontId="7" fillId="0" borderId="1" xfId="4" applyNumberFormat="1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3" xfId="4" applyFont="1" applyBorder="1" applyAlignment="1">
      <alignment horizontal="center" vertical="center" wrapText="1"/>
    </xf>
    <xf numFmtId="0" fontId="6" fillId="0" borderId="0" xfId="3" applyFont="1" applyAlignment="1">
      <alignment vertical="center"/>
    </xf>
    <xf numFmtId="0" fontId="4" fillId="0" borderId="2" xfId="3" applyFont="1" applyBorder="1" applyAlignment="1">
      <alignment vertical="center"/>
    </xf>
    <xf numFmtId="0" fontId="6" fillId="0" borderId="4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6" fillId="0" borderId="4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0" fontId="6" fillId="0" borderId="4" xfId="5" applyFont="1" applyBorder="1" applyAlignment="1">
      <alignment horizontal="center" vertical="center"/>
    </xf>
    <xf numFmtId="165" fontId="6" fillId="2" borderId="1" xfId="6" applyNumberFormat="1" applyFont="1" applyFill="1" applyBorder="1" applyAlignment="1">
      <alignment horizontal="center" vertical="center"/>
    </xf>
    <xf numFmtId="165" fontId="6" fillId="0" borderId="1" xfId="6" applyNumberFormat="1" applyFont="1" applyFill="1" applyBorder="1" applyAlignment="1">
      <alignment horizontal="center" vertical="center"/>
    </xf>
    <xf numFmtId="43" fontId="7" fillId="0" borderId="1" xfId="6" applyFont="1" applyFill="1" applyBorder="1" applyAlignment="1">
      <alignment horizontal="center" vertical="center"/>
    </xf>
    <xf numFmtId="43" fontId="7" fillId="0" borderId="3" xfId="6" applyFont="1" applyFill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6" fillId="0" borderId="1" xfId="5" applyFont="1" applyBorder="1" applyAlignment="1">
      <alignment horizontal="left" vertical="center" wrapText="1"/>
    </xf>
    <xf numFmtId="0" fontId="6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left" vertical="center" wrapText="1"/>
    </xf>
    <xf numFmtId="43" fontId="7" fillId="0" borderId="5" xfId="6" applyFont="1" applyFill="1" applyBorder="1" applyAlignment="1">
      <alignment horizontal="center" vertical="center"/>
    </xf>
    <xf numFmtId="43" fontId="7" fillId="0" borderId="3" xfId="6" applyFont="1" applyFill="1" applyBorder="1"/>
    <xf numFmtId="0" fontId="6" fillId="0" borderId="4" xfId="5" applyFont="1" applyFill="1" applyBorder="1" applyAlignment="1">
      <alignment horizontal="left" vertical="center" wrapText="1"/>
    </xf>
    <xf numFmtId="0" fontId="10" fillId="0" borderId="1" xfId="5" applyFont="1" applyFill="1" applyBorder="1" applyAlignment="1">
      <alignment horizontal="left" vertical="center" wrapText="1"/>
    </xf>
    <xf numFmtId="0" fontId="6" fillId="0" borderId="4" xfId="5" applyFont="1" applyFill="1" applyBorder="1" applyAlignment="1">
      <alignment horizontal="center" vertical="center" wrapText="1"/>
    </xf>
    <xf numFmtId="165" fontId="7" fillId="0" borderId="3" xfId="3" applyNumberFormat="1" applyFont="1" applyBorder="1"/>
    <xf numFmtId="0" fontId="11" fillId="0" borderId="1" xfId="5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0" fontId="12" fillId="0" borderId="3" xfId="3" applyFont="1" applyBorder="1"/>
    <xf numFmtId="0" fontId="4" fillId="0" borderId="0" xfId="3" applyFont="1" applyAlignment="1">
      <alignment horizontal="center" vertical="center"/>
    </xf>
    <xf numFmtId="0" fontId="6" fillId="0" borderId="6" xfId="5" applyFont="1" applyBorder="1" applyAlignment="1">
      <alignment horizontal="left" vertical="center" wrapText="1"/>
    </xf>
    <xf numFmtId="0" fontId="10" fillId="0" borderId="5" xfId="5" applyFont="1" applyBorder="1" applyAlignment="1">
      <alignment horizontal="left" vertical="center" wrapText="1"/>
    </xf>
    <xf numFmtId="0" fontId="6" fillId="0" borderId="6" xfId="5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165" fontId="6" fillId="2" borderId="5" xfId="6" applyNumberFormat="1" applyFont="1" applyFill="1" applyBorder="1" applyAlignment="1">
      <alignment horizontal="center" vertical="center"/>
    </xf>
    <xf numFmtId="165" fontId="6" fillId="0" borderId="7" xfId="6" applyNumberFormat="1" applyFont="1" applyFill="1" applyBorder="1" applyAlignment="1">
      <alignment horizontal="center" vertical="center"/>
    </xf>
    <xf numFmtId="165" fontId="6" fillId="0" borderId="5" xfId="6" applyNumberFormat="1" applyFont="1" applyFill="1" applyBorder="1" applyAlignment="1">
      <alignment horizontal="center" vertical="center"/>
    </xf>
    <xf numFmtId="165" fontId="4" fillId="0" borderId="0" xfId="3" applyNumberFormat="1" applyFont="1"/>
    <xf numFmtId="0" fontId="5" fillId="2" borderId="0" xfId="3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0" fontId="6" fillId="2" borderId="1" xfId="5" applyFont="1" applyFill="1" applyBorder="1" applyAlignment="1">
      <alignment horizontal="center" vertical="center"/>
    </xf>
    <xf numFmtId="0" fontId="6" fillId="2" borderId="4" xfId="5" applyFont="1" applyFill="1" applyBorder="1" applyAlignment="1">
      <alignment horizontal="center" vertical="center"/>
    </xf>
    <xf numFmtId="0" fontId="10" fillId="2" borderId="1" xfId="6" applyNumberFormat="1" applyFont="1" applyFill="1" applyBorder="1" applyAlignment="1">
      <alignment horizontal="center" vertical="center"/>
    </xf>
    <xf numFmtId="0" fontId="6" fillId="2" borderId="5" xfId="5" applyFont="1" applyFill="1" applyBorder="1" applyAlignment="1">
      <alignment horizontal="center" vertical="center"/>
    </xf>
    <xf numFmtId="0" fontId="6" fillId="2" borderId="6" xfId="5" applyFont="1" applyFill="1" applyBorder="1" applyAlignment="1">
      <alignment horizontal="center" vertical="center"/>
    </xf>
    <xf numFmtId="0" fontId="4" fillId="2" borderId="0" xfId="3" applyFont="1" applyFill="1"/>
  </cellXfs>
  <cellStyles count="7">
    <cellStyle name="Comma 3" xfId="6"/>
    <cellStyle name="Normal" xfId="0" builtinId="0"/>
    <cellStyle name="Normal 11" xfId="4"/>
    <cellStyle name="Normal 2" xfId="5"/>
    <cellStyle name="Normal 4" xfId="1"/>
    <cellStyle name="Normal 4 2" xfId="2"/>
    <cellStyle name="Normal 5 2" xfId="3"/>
  </cellStyles>
  <dxfs count="24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37"/>
  <sheetViews>
    <sheetView tabSelected="1" workbookViewId="0">
      <selection activeCell="E10" sqref="E10"/>
    </sheetView>
  </sheetViews>
  <sheetFormatPr defaultRowHeight="15" x14ac:dyDescent="0.25"/>
  <cols>
    <col min="2" max="2" width="51.85546875" style="6" bestFit="1" customWidth="1"/>
    <col min="3" max="3" width="24.28515625" style="6" customWidth="1"/>
    <col min="4" max="4" width="19.42578125" style="7" customWidth="1"/>
    <col min="5" max="5" width="92" style="6" bestFit="1" customWidth="1"/>
  </cols>
  <sheetData>
    <row r="2" spans="2:5" x14ac:dyDescent="0.25">
      <c r="B2" s="3" t="s">
        <v>0</v>
      </c>
      <c r="C2" s="4" t="s">
        <v>1</v>
      </c>
      <c r="D2" s="4" t="s">
        <v>2</v>
      </c>
      <c r="E2" s="4" t="s">
        <v>28</v>
      </c>
    </row>
    <row r="3" spans="2:5" x14ac:dyDescent="0.25">
      <c r="B3" s="1" t="s">
        <v>437</v>
      </c>
      <c r="C3" s="1" t="s">
        <v>53</v>
      </c>
      <c r="D3" s="2" t="s">
        <v>438</v>
      </c>
      <c r="E3" s="5" t="s">
        <v>439</v>
      </c>
    </row>
    <row r="4" spans="2:5" x14ac:dyDescent="0.25">
      <c r="B4" s="1" t="s">
        <v>440</v>
      </c>
      <c r="C4" s="1" t="s">
        <v>441</v>
      </c>
      <c r="D4" s="2" t="s">
        <v>442</v>
      </c>
      <c r="E4" s="5" t="s">
        <v>439</v>
      </c>
    </row>
    <row r="5" spans="2:5" x14ac:dyDescent="0.25">
      <c r="B5" s="1" t="s">
        <v>443</v>
      </c>
      <c r="C5" s="1" t="s">
        <v>444</v>
      </c>
      <c r="D5" s="2" t="s">
        <v>445</v>
      </c>
      <c r="E5" s="5" t="s">
        <v>446</v>
      </c>
    </row>
    <row r="6" spans="2:5" x14ac:dyDescent="0.25">
      <c r="B6" s="1" t="s">
        <v>447</v>
      </c>
      <c r="C6" s="1" t="s">
        <v>448</v>
      </c>
      <c r="D6" s="2" t="s">
        <v>449</v>
      </c>
      <c r="E6" s="5" t="s">
        <v>450</v>
      </c>
    </row>
    <row r="7" spans="2:5" x14ac:dyDescent="0.25">
      <c r="B7" s="1" t="s">
        <v>451</v>
      </c>
      <c r="C7" s="1" t="s">
        <v>448</v>
      </c>
      <c r="D7" s="2" t="s">
        <v>449</v>
      </c>
      <c r="E7" s="5" t="s">
        <v>450</v>
      </c>
    </row>
    <row r="8" spans="2:5" x14ac:dyDescent="0.25">
      <c r="B8" s="1" t="s">
        <v>452</v>
      </c>
      <c r="C8" s="1" t="s">
        <v>453</v>
      </c>
      <c r="D8" s="2" t="s">
        <v>454</v>
      </c>
      <c r="E8" s="5" t="s">
        <v>455</v>
      </c>
    </row>
    <row r="9" spans="2:5" x14ac:dyDescent="0.25">
      <c r="B9" s="1" t="s">
        <v>456</v>
      </c>
      <c r="C9" s="1" t="s">
        <v>453</v>
      </c>
      <c r="D9" s="2" t="s">
        <v>454</v>
      </c>
      <c r="E9" s="5" t="s">
        <v>455</v>
      </c>
    </row>
    <row r="10" spans="2:5" x14ac:dyDescent="0.25">
      <c r="B10" s="1" t="s">
        <v>457</v>
      </c>
      <c r="C10" s="1" t="s">
        <v>453</v>
      </c>
      <c r="D10" s="2" t="s">
        <v>454</v>
      </c>
      <c r="E10" s="5" t="s">
        <v>455</v>
      </c>
    </row>
    <row r="11" spans="2:5" x14ac:dyDescent="0.25">
      <c r="B11" s="1" t="s">
        <v>458</v>
      </c>
      <c r="C11" s="1" t="s">
        <v>459</v>
      </c>
      <c r="D11" s="2" t="s">
        <v>460</v>
      </c>
      <c r="E11" s="5" t="s">
        <v>455</v>
      </c>
    </row>
    <row r="12" spans="2:5" x14ac:dyDescent="0.25">
      <c r="B12" s="1" t="s">
        <v>461</v>
      </c>
      <c r="C12" s="1" t="s">
        <v>462</v>
      </c>
      <c r="D12" s="2" t="s">
        <v>463</v>
      </c>
      <c r="E12" s="5" t="s">
        <v>464</v>
      </c>
    </row>
    <row r="13" spans="2:5" x14ac:dyDescent="0.25">
      <c r="B13" s="1" t="s">
        <v>465</v>
      </c>
      <c r="C13" s="1" t="s">
        <v>466</v>
      </c>
      <c r="D13" s="2" t="s">
        <v>467</v>
      </c>
      <c r="E13" s="5" t="s">
        <v>468</v>
      </c>
    </row>
    <row r="14" spans="2:5" x14ac:dyDescent="0.25">
      <c r="B14" s="1" t="s">
        <v>469</v>
      </c>
      <c r="C14" s="1" t="s">
        <v>470</v>
      </c>
      <c r="D14" s="2" t="s">
        <v>471</v>
      </c>
      <c r="E14" s="5" t="s">
        <v>455</v>
      </c>
    </row>
    <row r="15" spans="2:5" x14ac:dyDescent="0.25">
      <c r="B15" s="1" t="s">
        <v>472</v>
      </c>
      <c r="C15" s="1" t="s">
        <v>473</v>
      </c>
      <c r="D15" s="2" t="s">
        <v>474</v>
      </c>
      <c r="E15" s="5" t="s">
        <v>475</v>
      </c>
    </row>
    <row r="16" spans="2:5" x14ac:dyDescent="0.25">
      <c r="B16" s="1" t="s">
        <v>476</v>
      </c>
      <c r="C16" s="1" t="s">
        <v>473</v>
      </c>
      <c r="D16" s="2" t="s">
        <v>474</v>
      </c>
      <c r="E16" s="5" t="s">
        <v>475</v>
      </c>
    </row>
    <row r="17" spans="2:5" x14ac:dyDescent="0.25">
      <c r="B17" s="1" t="s">
        <v>477</v>
      </c>
      <c r="C17" s="1" t="s">
        <v>478</v>
      </c>
      <c r="D17" s="2" t="s">
        <v>479</v>
      </c>
      <c r="E17" s="5" t="s">
        <v>480</v>
      </c>
    </row>
    <row r="18" spans="2:5" x14ac:dyDescent="0.25">
      <c r="B18" s="1" t="s">
        <v>481</v>
      </c>
      <c r="C18" s="1" t="s">
        <v>78</v>
      </c>
      <c r="D18" s="2" t="s">
        <v>365</v>
      </c>
      <c r="E18" s="5" t="s">
        <v>482</v>
      </c>
    </row>
    <row r="19" spans="2:5" x14ac:dyDescent="0.25">
      <c r="B19" s="1" t="s">
        <v>483</v>
      </c>
      <c r="C19" s="1" t="s">
        <v>78</v>
      </c>
      <c r="D19" s="2" t="s">
        <v>365</v>
      </c>
      <c r="E19" s="5" t="s">
        <v>482</v>
      </c>
    </row>
    <row r="20" spans="2:5" x14ac:dyDescent="0.25">
      <c r="B20" s="1" t="s">
        <v>484</v>
      </c>
      <c r="C20" s="1" t="s">
        <v>78</v>
      </c>
      <c r="D20" s="2" t="s">
        <v>365</v>
      </c>
      <c r="E20" s="5" t="s">
        <v>482</v>
      </c>
    </row>
    <row r="21" spans="2:5" x14ac:dyDescent="0.25">
      <c r="B21" s="1" t="s">
        <v>485</v>
      </c>
      <c r="C21" s="1" t="s">
        <v>78</v>
      </c>
      <c r="D21" s="2" t="s">
        <v>365</v>
      </c>
      <c r="E21" s="5" t="s">
        <v>482</v>
      </c>
    </row>
    <row r="22" spans="2:5" x14ac:dyDescent="0.25">
      <c r="B22" s="1" t="s">
        <v>486</v>
      </c>
      <c r="C22" s="1" t="s">
        <v>78</v>
      </c>
      <c r="D22" s="2" t="s">
        <v>365</v>
      </c>
      <c r="E22" s="5" t="s">
        <v>482</v>
      </c>
    </row>
    <row r="23" spans="2:5" x14ac:dyDescent="0.25">
      <c r="B23" s="1" t="s">
        <v>487</v>
      </c>
      <c r="C23" s="1" t="s">
        <v>78</v>
      </c>
      <c r="D23" s="2" t="s">
        <v>365</v>
      </c>
      <c r="E23" s="5" t="s">
        <v>482</v>
      </c>
    </row>
    <row r="24" spans="2:5" x14ac:dyDescent="0.25">
      <c r="B24" s="1" t="s">
        <v>363</v>
      </c>
      <c r="C24" s="1" t="s">
        <v>78</v>
      </c>
      <c r="D24" s="2" t="s">
        <v>365</v>
      </c>
      <c r="E24" s="5" t="s">
        <v>482</v>
      </c>
    </row>
    <row r="25" spans="2:5" x14ac:dyDescent="0.25">
      <c r="B25" s="1" t="s">
        <v>488</v>
      </c>
      <c r="C25" s="1" t="s">
        <v>78</v>
      </c>
      <c r="D25" s="2" t="s">
        <v>365</v>
      </c>
      <c r="E25" s="5" t="s">
        <v>482</v>
      </c>
    </row>
    <row r="26" spans="2:5" x14ac:dyDescent="0.25">
      <c r="B26" s="1" t="s">
        <v>489</v>
      </c>
      <c r="C26" s="1" t="s">
        <v>490</v>
      </c>
      <c r="D26" s="2" t="s">
        <v>491</v>
      </c>
      <c r="E26" s="5" t="s">
        <v>492</v>
      </c>
    </row>
    <row r="27" spans="2:5" x14ac:dyDescent="0.25">
      <c r="B27" s="1" t="s">
        <v>493</v>
      </c>
      <c r="C27" s="1" t="s">
        <v>494</v>
      </c>
      <c r="D27" s="2" t="s">
        <v>495</v>
      </c>
      <c r="E27" s="5" t="s">
        <v>496</v>
      </c>
    </row>
    <row r="28" spans="2:5" x14ac:dyDescent="0.25">
      <c r="B28" s="1" t="s">
        <v>497</v>
      </c>
      <c r="C28" s="1" t="s">
        <v>498</v>
      </c>
      <c r="D28" s="2" t="s">
        <v>499</v>
      </c>
      <c r="E28" s="5" t="s">
        <v>496</v>
      </c>
    </row>
    <row r="29" spans="2:5" x14ac:dyDescent="0.25">
      <c r="B29" s="1" t="s">
        <v>500</v>
      </c>
      <c r="C29" s="1" t="s">
        <v>494</v>
      </c>
      <c r="D29" s="2" t="s">
        <v>495</v>
      </c>
      <c r="E29" s="5" t="s">
        <v>496</v>
      </c>
    </row>
    <row r="30" spans="2:5" x14ac:dyDescent="0.25">
      <c r="B30" s="1" t="s">
        <v>501</v>
      </c>
      <c r="C30" s="1" t="s">
        <v>502</v>
      </c>
      <c r="D30" s="2" t="s">
        <v>503</v>
      </c>
      <c r="E30" s="5" t="s">
        <v>504</v>
      </c>
    </row>
    <row r="31" spans="2:5" x14ac:dyDescent="0.25">
      <c r="B31" s="1" t="s">
        <v>505</v>
      </c>
      <c r="C31" s="1" t="s">
        <v>502</v>
      </c>
      <c r="D31" s="2" t="s">
        <v>503</v>
      </c>
      <c r="E31" s="5" t="s">
        <v>504</v>
      </c>
    </row>
    <row r="32" spans="2:5" x14ac:dyDescent="0.25">
      <c r="B32" s="1" t="s">
        <v>506</v>
      </c>
      <c r="C32" s="1" t="s">
        <v>507</v>
      </c>
      <c r="D32" s="2" t="s">
        <v>503</v>
      </c>
      <c r="E32" s="5" t="s">
        <v>496</v>
      </c>
    </row>
    <row r="33" spans="2:5" x14ac:dyDescent="0.25">
      <c r="B33" s="1" t="s">
        <v>508</v>
      </c>
      <c r="C33" s="1" t="s">
        <v>478</v>
      </c>
      <c r="D33" s="2" t="s">
        <v>509</v>
      </c>
      <c r="E33" s="5" t="s">
        <v>510</v>
      </c>
    </row>
    <row r="34" spans="2:5" x14ac:dyDescent="0.25">
      <c r="B34" s="1" t="s">
        <v>511</v>
      </c>
      <c r="C34" s="1" t="s">
        <v>512</v>
      </c>
      <c r="D34" s="2" t="s">
        <v>513</v>
      </c>
      <c r="E34" s="5" t="s">
        <v>514</v>
      </c>
    </row>
    <row r="35" spans="2:5" x14ac:dyDescent="0.25">
      <c r="B35" s="1" t="s">
        <v>515</v>
      </c>
      <c r="C35" s="1" t="s">
        <v>512</v>
      </c>
      <c r="D35" s="2" t="s">
        <v>513</v>
      </c>
      <c r="E35" s="5" t="s">
        <v>514</v>
      </c>
    </row>
    <row r="36" spans="2:5" x14ac:dyDescent="0.25">
      <c r="B36" s="1" t="s">
        <v>516</v>
      </c>
      <c r="C36" s="1" t="s">
        <v>517</v>
      </c>
      <c r="D36" s="2" t="s">
        <v>518</v>
      </c>
      <c r="E36" s="5" t="s">
        <v>519</v>
      </c>
    </row>
    <row r="37" spans="2:5" x14ac:dyDescent="0.25">
      <c r="B37" s="1" t="s">
        <v>520</v>
      </c>
      <c r="C37" s="1" t="s">
        <v>517</v>
      </c>
      <c r="D37" s="2" t="s">
        <v>518</v>
      </c>
      <c r="E37" s="5" t="s">
        <v>519</v>
      </c>
    </row>
    <row r="38" spans="2:5" x14ac:dyDescent="0.25">
      <c r="B38" s="1" t="s">
        <v>521</v>
      </c>
      <c r="C38" s="1" t="s">
        <v>78</v>
      </c>
      <c r="D38" s="2" t="s">
        <v>522</v>
      </c>
      <c r="E38" s="5" t="s">
        <v>496</v>
      </c>
    </row>
    <row r="39" spans="2:5" x14ac:dyDescent="0.25">
      <c r="B39" s="1" t="s">
        <v>523</v>
      </c>
      <c r="C39" s="1" t="s">
        <v>524</v>
      </c>
      <c r="D39" s="2" t="s">
        <v>525</v>
      </c>
      <c r="E39" s="5" t="s">
        <v>496</v>
      </c>
    </row>
    <row r="40" spans="2:5" x14ac:dyDescent="0.25">
      <c r="B40" s="1" t="s">
        <v>526</v>
      </c>
      <c r="C40" s="1" t="s">
        <v>527</v>
      </c>
      <c r="D40" s="2" t="s">
        <v>528</v>
      </c>
      <c r="E40" s="5" t="s">
        <v>496</v>
      </c>
    </row>
    <row r="41" spans="2:5" x14ac:dyDescent="0.25">
      <c r="B41" s="1" t="s">
        <v>529</v>
      </c>
      <c r="C41" s="1" t="s">
        <v>530</v>
      </c>
      <c r="D41" s="2" t="s">
        <v>531</v>
      </c>
      <c r="E41" s="5" t="s">
        <v>496</v>
      </c>
    </row>
    <row r="42" spans="2:5" x14ac:dyDescent="0.25">
      <c r="B42" s="1" t="s">
        <v>532</v>
      </c>
      <c r="C42" s="1" t="s">
        <v>533</v>
      </c>
      <c r="D42" s="2" t="s">
        <v>534</v>
      </c>
      <c r="E42" s="5" t="s">
        <v>496</v>
      </c>
    </row>
    <row r="43" spans="2:5" x14ac:dyDescent="0.25">
      <c r="B43" s="1" t="s">
        <v>535</v>
      </c>
      <c r="C43" s="1" t="s">
        <v>536</v>
      </c>
      <c r="D43" s="2" t="s">
        <v>537</v>
      </c>
      <c r="E43" s="5" t="s">
        <v>496</v>
      </c>
    </row>
    <row r="44" spans="2:5" x14ac:dyDescent="0.25">
      <c r="B44" s="1" t="s">
        <v>538</v>
      </c>
      <c r="C44" s="1" t="s">
        <v>527</v>
      </c>
      <c r="D44" s="2" t="s">
        <v>528</v>
      </c>
      <c r="E44" s="5" t="s">
        <v>496</v>
      </c>
    </row>
    <row r="45" spans="2:5" x14ac:dyDescent="0.25">
      <c r="B45" s="1" t="s">
        <v>539</v>
      </c>
      <c r="C45" s="1" t="s">
        <v>540</v>
      </c>
      <c r="D45" s="2" t="s">
        <v>541</v>
      </c>
      <c r="E45" s="5" t="s">
        <v>496</v>
      </c>
    </row>
    <row r="46" spans="2:5" x14ac:dyDescent="0.25">
      <c r="B46" s="1" t="s">
        <v>542</v>
      </c>
      <c r="C46" s="1" t="s">
        <v>540</v>
      </c>
      <c r="D46" s="2" t="s">
        <v>541</v>
      </c>
      <c r="E46" s="5" t="s">
        <v>496</v>
      </c>
    </row>
    <row r="47" spans="2:5" x14ac:dyDescent="0.25">
      <c r="B47" s="1" t="s">
        <v>543</v>
      </c>
      <c r="C47" s="1" t="s">
        <v>540</v>
      </c>
      <c r="D47" s="2" t="s">
        <v>541</v>
      </c>
      <c r="E47" s="5" t="s">
        <v>496</v>
      </c>
    </row>
    <row r="48" spans="2:5" x14ac:dyDescent="0.25">
      <c r="B48" s="1" t="s">
        <v>29</v>
      </c>
      <c r="C48" s="1" t="s">
        <v>30</v>
      </c>
      <c r="D48" s="2" t="s">
        <v>31</v>
      </c>
      <c r="E48" s="5" t="s">
        <v>544</v>
      </c>
    </row>
    <row r="49" spans="2:5" x14ac:dyDescent="0.25">
      <c r="B49" s="1" t="s">
        <v>545</v>
      </c>
      <c r="C49" s="1" t="s">
        <v>546</v>
      </c>
      <c r="D49" s="2" t="s">
        <v>547</v>
      </c>
      <c r="E49" s="5" t="s">
        <v>548</v>
      </c>
    </row>
    <row r="50" spans="2:5" x14ac:dyDescent="0.25">
      <c r="B50" s="1" t="s">
        <v>549</v>
      </c>
      <c r="C50" s="1" t="s">
        <v>203</v>
      </c>
      <c r="D50" s="2" t="s">
        <v>550</v>
      </c>
      <c r="E50" s="5" t="s">
        <v>551</v>
      </c>
    </row>
    <row r="51" spans="2:5" x14ac:dyDescent="0.25">
      <c r="B51" s="1" t="s">
        <v>552</v>
      </c>
      <c r="C51" s="1" t="s">
        <v>553</v>
      </c>
      <c r="D51" s="2" t="s">
        <v>554</v>
      </c>
      <c r="E51" s="5" t="s">
        <v>551</v>
      </c>
    </row>
    <row r="52" spans="2:5" x14ac:dyDescent="0.25">
      <c r="B52" s="1" t="s">
        <v>555</v>
      </c>
      <c r="C52" s="1" t="s">
        <v>380</v>
      </c>
      <c r="D52" s="2" t="s">
        <v>556</v>
      </c>
      <c r="E52" s="5" t="s">
        <v>557</v>
      </c>
    </row>
    <row r="53" spans="2:5" x14ac:dyDescent="0.25">
      <c r="B53" s="1" t="s">
        <v>558</v>
      </c>
      <c r="C53" s="1" t="s">
        <v>559</v>
      </c>
      <c r="D53" s="2" t="s">
        <v>560</v>
      </c>
      <c r="E53" s="5" t="s">
        <v>557</v>
      </c>
    </row>
    <row r="54" spans="2:5" x14ac:dyDescent="0.25">
      <c r="B54" s="1" t="s">
        <v>561</v>
      </c>
      <c r="C54" s="1" t="s">
        <v>562</v>
      </c>
      <c r="D54" s="2" t="s">
        <v>556</v>
      </c>
      <c r="E54" s="5" t="s">
        <v>557</v>
      </c>
    </row>
    <row r="55" spans="2:5" x14ac:dyDescent="0.25">
      <c r="B55" s="1" t="s">
        <v>563</v>
      </c>
      <c r="C55" s="1" t="s">
        <v>277</v>
      </c>
      <c r="D55" s="2" t="s">
        <v>564</v>
      </c>
      <c r="E55" s="5" t="s">
        <v>557</v>
      </c>
    </row>
    <row r="56" spans="2:5" x14ac:dyDescent="0.25">
      <c r="B56" s="1" t="s">
        <v>565</v>
      </c>
      <c r="C56" s="1" t="s">
        <v>566</v>
      </c>
      <c r="D56" s="2" t="s">
        <v>567</v>
      </c>
      <c r="E56" s="5" t="s">
        <v>557</v>
      </c>
    </row>
    <row r="57" spans="2:5" x14ac:dyDescent="0.25">
      <c r="B57" s="1" t="s">
        <v>568</v>
      </c>
      <c r="C57" s="1" t="s">
        <v>569</v>
      </c>
      <c r="D57" s="2" t="s">
        <v>570</v>
      </c>
      <c r="E57" s="5" t="s">
        <v>571</v>
      </c>
    </row>
    <row r="58" spans="2:5" x14ac:dyDescent="0.25">
      <c r="B58" s="1" t="s">
        <v>3</v>
      </c>
      <c r="C58" s="1" t="s">
        <v>4</v>
      </c>
      <c r="D58" s="2" t="s">
        <v>5</v>
      </c>
      <c r="E58" s="5" t="s">
        <v>572</v>
      </c>
    </row>
    <row r="59" spans="2:5" x14ac:dyDescent="0.25">
      <c r="B59" s="1" t="s">
        <v>3</v>
      </c>
      <c r="C59" s="1" t="s">
        <v>6</v>
      </c>
      <c r="D59" s="2" t="s">
        <v>7</v>
      </c>
      <c r="E59" s="5" t="s">
        <v>572</v>
      </c>
    </row>
    <row r="60" spans="2:5" x14ac:dyDescent="0.25">
      <c r="B60" s="1" t="s">
        <v>8</v>
      </c>
      <c r="C60" s="1" t="s">
        <v>6</v>
      </c>
      <c r="D60" s="2" t="s">
        <v>7</v>
      </c>
      <c r="E60" s="5" t="s">
        <v>572</v>
      </c>
    </row>
    <row r="61" spans="2:5" x14ac:dyDescent="0.25">
      <c r="B61" s="1" t="s">
        <v>9</v>
      </c>
      <c r="C61" s="1" t="s">
        <v>6</v>
      </c>
      <c r="D61" s="2" t="s">
        <v>7</v>
      </c>
      <c r="E61" s="5" t="s">
        <v>572</v>
      </c>
    </row>
    <row r="62" spans="2:5" x14ac:dyDescent="0.25">
      <c r="B62" s="1" t="s">
        <v>10</v>
      </c>
      <c r="C62" s="1" t="s">
        <v>6</v>
      </c>
      <c r="D62" s="2" t="s">
        <v>7</v>
      </c>
      <c r="E62" s="5" t="s">
        <v>572</v>
      </c>
    </row>
    <row r="63" spans="2:5" x14ac:dyDescent="0.25">
      <c r="B63" s="1" t="s">
        <v>11</v>
      </c>
      <c r="C63" s="1" t="s">
        <v>12</v>
      </c>
      <c r="D63" s="2" t="s">
        <v>13</v>
      </c>
      <c r="E63" s="5" t="s">
        <v>572</v>
      </c>
    </row>
    <row r="64" spans="2:5" x14ac:dyDescent="0.25">
      <c r="B64" s="1" t="s">
        <v>3</v>
      </c>
      <c r="C64" s="1" t="s">
        <v>14</v>
      </c>
      <c r="D64" s="2" t="s">
        <v>15</v>
      </c>
      <c r="E64" s="5" t="s">
        <v>572</v>
      </c>
    </row>
    <row r="65" spans="2:5" x14ac:dyDescent="0.25">
      <c r="B65" s="1" t="s">
        <v>16</v>
      </c>
      <c r="C65" s="1" t="s">
        <v>12</v>
      </c>
      <c r="D65" s="2" t="s">
        <v>13</v>
      </c>
      <c r="E65" s="5" t="s">
        <v>572</v>
      </c>
    </row>
    <row r="66" spans="2:5" x14ac:dyDescent="0.25">
      <c r="B66" s="1" t="s">
        <v>17</v>
      </c>
      <c r="C66" s="1" t="s">
        <v>14</v>
      </c>
      <c r="D66" s="2" t="s">
        <v>15</v>
      </c>
      <c r="E66" s="5" t="s">
        <v>572</v>
      </c>
    </row>
    <row r="67" spans="2:5" x14ac:dyDescent="0.25">
      <c r="B67" s="1" t="s">
        <v>18</v>
      </c>
      <c r="C67" s="1" t="s">
        <v>6</v>
      </c>
      <c r="D67" s="2" t="s">
        <v>7</v>
      </c>
      <c r="E67" s="5" t="s">
        <v>572</v>
      </c>
    </row>
    <row r="68" spans="2:5" x14ac:dyDescent="0.25">
      <c r="B68" s="1" t="s">
        <v>19</v>
      </c>
      <c r="C68" s="1" t="s">
        <v>20</v>
      </c>
      <c r="D68" s="2" t="s">
        <v>21</v>
      </c>
      <c r="E68" s="5" t="s">
        <v>572</v>
      </c>
    </row>
    <row r="69" spans="2:5" x14ac:dyDescent="0.25">
      <c r="B69" s="1" t="s">
        <v>22</v>
      </c>
      <c r="C69" s="1" t="s">
        <v>12</v>
      </c>
      <c r="D69" s="2" t="s">
        <v>13</v>
      </c>
      <c r="E69" s="5" t="s">
        <v>572</v>
      </c>
    </row>
    <row r="70" spans="2:5" x14ac:dyDescent="0.25">
      <c r="B70" s="1" t="s">
        <v>19</v>
      </c>
      <c r="C70" s="1" t="s">
        <v>23</v>
      </c>
      <c r="D70" s="2" t="s">
        <v>24</v>
      </c>
      <c r="E70" s="5" t="s">
        <v>572</v>
      </c>
    </row>
    <row r="71" spans="2:5" x14ac:dyDescent="0.25">
      <c r="B71" s="1" t="s">
        <v>25</v>
      </c>
      <c r="C71" s="1" t="s">
        <v>6</v>
      </c>
      <c r="D71" s="2" t="s">
        <v>7</v>
      </c>
      <c r="E71" s="5" t="s">
        <v>572</v>
      </c>
    </row>
    <row r="72" spans="2:5" x14ac:dyDescent="0.25">
      <c r="B72" s="1" t="s">
        <v>19</v>
      </c>
      <c r="C72" s="1" t="s">
        <v>26</v>
      </c>
      <c r="D72" s="2" t="s">
        <v>27</v>
      </c>
      <c r="E72" s="5" t="s">
        <v>544</v>
      </c>
    </row>
    <row r="73" spans="2:5" x14ac:dyDescent="0.25">
      <c r="B73" s="1" t="s">
        <v>29</v>
      </c>
      <c r="C73" s="1" t="s">
        <v>30</v>
      </c>
      <c r="D73" s="2" t="s">
        <v>31</v>
      </c>
      <c r="E73" s="5" t="s">
        <v>544</v>
      </c>
    </row>
    <row r="74" spans="2:5" x14ac:dyDescent="0.25">
      <c r="B74" s="1" t="s">
        <v>32</v>
      </c>
      <c r="C74" s="1" t="s">
        <v>33</v>
      </c>
      <c r="D74" s="2" t="s">
        <v>34</v>
      </c>
      <c r="E74" s="5" t="s">
        <v>544</v>
      </c>
    </row>
    <row r="75" spans="2:5" x14ac:dyDescent="0.25">
      <c r="B75" s="1" t="s">
        <v>35</v>
      </c>
      <c r="C75" s="1" t="s">
        <v>33</v>
      </c>
      <c r="D75" s="2" t="s">
        <v>34</v>
      </c>
      <c r="E75" s="5" t="s">
        <v>544</v>
      </c>
    </row>
    <row r="76" spans="2:5" x14ac:dyDescent="0.25">
      <c r="B76" s="1" t="s">
        <v>36</v>
      </c>
      <c r="C76" s="1" t="s">
        <v>37</v>
      </c>
      <c r="D76" s="2" t="s">
        <v>38</v>
      </c>
      <c r="E76" s="5" t="s">
        <v>573</v>
      </c>
    </row>
    <row r="77" spans="2:5" x14ac:dyDescent="0.25">
      <c r="B77" s="1" t="s">
        <v>39</v>
      </c>
      <c r="C77" s="1" t="s">
        <v>40</v>
      </c>
      <c r="D77" s="2" t="s">
        <v>41</v>
      </c>
      <c r="E77" s="5" t="s">
        <v>574</v>
      </c>
    </row>
    <row r="78" spans="2:5" x14ac:dyDescent="0.25">
      <c r="B78" s="1" t="s">
        <v>42</v>
      </c>
      <c r="C78" s="1" t="s">
        <v>43</v>
      </c>
      <c r="D78" s="2" t="s">
        <v>643</v>
      </c>
      <c r="E78" s="5" t="s">
        <v>574</v>
      </c>
    </row>
    <row r="79" spans="2:5" x14ac:dyDescent="0.25">
      <c r="B79" s="1" t="s">
        <v>44</v>
      </c>
      <c r="C79" s="1" t="s">
        <v>45</v>
      </c>
      <c r="D79" s="2" t="s">
        <v>120</v>
      </c>
      <c r="E79" s="5" t="s">
        <v>574</v>
      </c>
    </row>
    <row r="80" spans="2:5" x14ac:dyDescent="0.25">
      <c r="B80" s="1" t="s">
        <v>46</v>
      </c>
      <c r="C80" s="1" t="s">
        <v>47</v>
      </c>
      <c r="D80" s="2" t="s">
        <v>642</v>
      </c>
      <c r="E80" s="5" t="s">
        <v>574</v>
      </c>
    </row>
    <row r="81" spans="2:5" x14ac:dyDescent="0.25">
      <c r="B81" s="1" t="s">
        <v>48</v>
      </c>
      <c r="C81" s="1" t="s">
        <v>49</v>
      </c>
      <c r="D81" s="2" t="s">
        <v>644</v>
      </c>
      <c r="E81" s="5" t="s">
        <v>574</v>
      </c>
    </row>
    <row r="82" spans="2:5" x14ac:dyDescent="0.25">
      <c r="B82" s="1" t="s">
        <v>42</v>
      </c>
      <c r="C82" s="1" t="s">
        <v>50</v>
      </c>
      <c r="D82" s="2" t="s">
        <v>51</v>
      </c>
      <c r="E82" s="5" t="s">
        <v>574</v>
      </c>
    </row>
    <row r="83" spans="2:5" x14ac:dyDescent="0.25">
      <c r="B83" s="1" t="s">
        <v>52</v>
      </c>
      <c r="C83" s="1" t="s">
        <v>50</v>
      </c>
      <c r="D83" s="2" t="s">
        <v>51</v>
      </c>
      <c r="E83" s="5" t="s">
        <v>574</v>
      </c>
    </row>
    <row r="84" spans="2:5" x14ac:dyDescent="0.25">
      <c r="B84" s="1" t="s">
        <v>42</v>
      </c>
      <c r="C84" s="1" t="s">
        <v>53</v>
      </c>
      <c r="D84" s="2" t="s">
        <v>54</v>
      </c>
      <c r="E84" s="5" t="s">
        <v>574</v>
      </c>
    </row>
    <row r="85" spans="2:5" x14ac:dyDescent="0.25">
      <c r="B85" s="1" t="s">
        <v>55</v>
      </c>
      <c r="C85" s="1" t="s">
        <v>56</v>
      </c>
      <c r="D85" s="2" t="s">
        <v>57</v>
      </c>
      <c r="E85" s="5" t="s">
        <v>574</v>
      </c>
    </row>
    <row r="86" spans="2:5" x14ac:dyDescent="0.25">
      <c r="B86" s="1" t="s">
        <v>42</v>
      </c>
      <c r="C86" s="1" t="s">
        <v>58</v>
      </c>
      <c r="D86" s="2" t="s">
        <v>59</v>
      </c>
      <c r="E86" s="5" t="s">
        <v>574</v>
      </c>
    </row>
    <row r="87" spans="2:5" x14ac:dyDescent="0.25">
      <c r="B87" s="1" t="s">
        <v>42</v>
      </c>
      <c r="C87" s="1" t="s">
        <v>60</v>
      </c>
      <c r="D87" s="2" t="s">
        <v>61</v>
      </c>
      <c r="E87" s="5" t="s">
        <v>574</v>
      </c>
    </row>
    <row r="88" spans="2:5" x14ac:dyDescent="0.25">
      <c r="B88" s="1" t="s">
        <v>62</v>
      </c>
      <c r="C88" s="1" t="s">
        <v>63</v>
      </c>
      <c r="D88" s="2" t="s">
        <v>64</v>
      </c>
      <c r="E88" s="5" t="s">
        <v>574</v>
      </c>
    </row>
    <row r="89" spans="2:5" x14ac:dyDescent="0.25">
      <c r="B89" s="1" t="s">
        <v>65</v>
      </c>
      <c r="C89" s="1" t="s">
        <v>66</v>
      </c>
      <c r="D89" s="2" t="s">
        <v>67</v>
      </c>
      <c r="E89" s="5" t="s">
        <v>575</v>
      </c>
    </row>
    <row r="90" spans="2:5" x14ac:dyDescent="0.25">
      <c r="B90" s="1" t="s">
        <v>68</v>
      </c>
      <c r="C90" s="1" t="s">
        <v>69</v>
      </c>
      <c r="D90" s="2" t="s">
        <v>645</v>
      </c>
      <c r="E90" s="5" t="s">
        <v>576</v>
      </c>
    </row>
    <row r="91" spans="2:5" x14ac:dyDescent="0.25">
      <c r="B91" s="1" t="s">
        <v>70</v>
      </c>
      <c r="C91" s="1" t="s">
        <v>71</v>
      </c>
      <c r="D91" s="2" t="s">
        <v>72</v>
      </c>
      <c r="E91" s="5" t="s">
        <v>577</v>
      </c>
    </row>
    <row r="92" spans="2:5" x14ac:dyDescent="0.25">
      <c r="B92" s="1" t="s">
        <v>73</v>
      </c>
      <c r="C92" s="1" t="s">
        <v>74</v>
      </c>
      <c r="D92" s="2" t="s">
        <v>75</v>
      </c>
      <c r="E92" s="5" t="s">
        <v>577</v>
      </c>
    </row>
    <row r="93" spans="2:5" x14ac:dyDescent="0.25">
      <c r="B93" s="1" t="s">
        <v>76</v>
      </c>
      <c r="C93" s="1" t="s">
        <v>74</v>
      </c>
      <c r="D93" s="2" t="s">
        <v>75</v>
      </c>
      <c r="E93" s="5" t="s">
        <v>578</v>
      </c>
    </row>
    <row r="94" spans="2:5" x14ac:dyDescent="0.25">
      <c r="B94" s="1" t="s">
        <v>77</v>
      </c>
      <c r="C94" s="1" t="s">
        <v>78</v>
      </c>
      <c r="D94" s="2" t="s">
        <v>79</v>
      </c>
      <c r="E94" s="5" t="s">
        <v>577</v>
      </c>
    </row>
    <row r="95" spans="2:5" x14ac:dyDescent="0.25">
      <c r="B95" s="1" t="s">
        <v>76</v>
      </c>
      <c r="C95" s="1" t="s">
        <v>80</v>
      </c>
      <c r="D95" s="2" t="s">
        <v>81</v>
      </c>
      <c r="E95" s="5" t="s">
        <v>577</v>
      </c>
    </row>
    <row r="96" spans="2:5" x14ac:dyDescent="0.25">
      <c r="B96" s="1" t="s">
        <v>73</v>
      </c>
      <c r="C96" s="1" t="s">
        <v>82</v>
      </c>
      <c r="D96" s="2" t="s">
        <v>83</v>
      </c>
      <c r="E96" s="5" t="s">
        <v>577</v>
      </c>
    </row>
    <row r="97" spans="2:5" x14ac:dyDescent="0.25">
      <c r="B97" s="1" t="s">
        <v>76</v>
      </c>
      <c r="C97" s="1" t="s">
        <v>84</v>
      </c>
      <c r="D97" s="2" t="s">
        <v>85</v>
      </c>
      <c r="E97" s="5" t="s">
        <v>577</v>
      </c>
    </row>
    <row r="98" spans="2:5" x14ac:dyDescent="0.25">
      <c r="B98" s="1" t="s">
        <v>76</v>
      </c>
      <c r="C98" s="1" t="s">
        <v>86</v>
      </c>
      <c r="D98" s="2" t="s">
        <v>87</v>
      </c>
      <c r="E98" s="5" t="s">
        <v>577</v>
      </c>
    </row>
    <row r="99" spans="2:5" x14ac:dyDescent="0.25">
      <c r="B99" s="1" t="s">
        <v>88</v>
      </c>
      <c r="C99" s="1" t="s">
        <v>78</v>
      </c>
      <c r="D99" s="2" t="s">
        <v>79</v>
      </c>
      <c r="E99" s="5" t="s">
        <v>577</v>
      </c>
    </row>
    <row r="100" spans="2:5" x14ac:dyDescent="0.25">
      <c r="B100" s="1" t="s">
        <v>89</v>
      </c>
      <c r="C100" s="1" t="s">
        <v>90</v>
      </c>
      <c r="D100" s="2" t="s">
        <v>85</v>
      </c>
      <c r="E100" s="5" t="s">
        <v>577</v>
      </c>
    </row>
    <row r="101" spans="2:5" x14ac:dyDescent="0.25">
      <c r="B101" s="1" t="s">
        <v>73</v>
      </c>
      <c r="C101" s="1" t="s">
        <v>90</v>
      </c>
      <c r="D101" s="2" t="s">
        <v>85</v>
      </c>
      <c r="E101" s="5" t="s">
        <v>577</v>
      </c>
    </row>
    <row r="102" spans="2:5" x14ac:dyDescent="0.25">
      <c r="B102" s="1" t="s">
        <v>91</v>
      </c>
      <c r="C102" s="1" t="s">
        <v>92</v>
      </c>
      <c r="D102" s="2" t="s">
        <v>93</v>
      </c>
      <c r="E102" s="5" t="s">
        <v>578</v>
      </c>
    </row>
    <row r="103" spans="2:5" x14ac:dyDescent="0.25">
      <c r="B103" s="1" t="s">
        <v>77</v>
      </c>
      <c r="C103" s="1" t="s">
        <v>90</v>
      </c>
      <c r="D103" s="2" t="s">
        <v>85</v>
      </c>
      <c r="E103" s="5" t="s">
        <v>577</v>
      </c>
    </row>
    <row r="104" spans="2:5" x14ac:dyDescent="0.25">
      <c r="B104" s="1" t="s">
        <v>76</v>
      </c>
      <c r="C104" s="1" t="s">
        <v>90</v>
      </c>
      <c r="D104" s="2" t="s">
        <v>85</v>
      </c>
      <c r="E104" s="5" t="s">
        <v>577</v>
      </c>
    </row>
    <row r="105" spans="2:5" x14ac:dyDescent="0.25">
      <c r="B105" s="1" t="s">
        <v>94</v>
      </c>
      <c r="C105" s="1" t="s">
        <v>95</v>
      </c>
      <c r="D105" s="2" t="s">
        <v>96</v>
      </c>
      <c r="E105" s="5" t="s">
        <v>579</v>
      </c>
    </row>
    <row r="106" spans="2:5" x14ac:dyDescent="0.25">
      <c r="B106" s="1" t="s">
        <v>97</v>
      </c>
      <c r="C106" s="1" t="s">
        <v>98</v>
      </c>
      <c r="D106" s="2" t="s">
        <v>99</v>
      </c>
      <c r="E106" s="5" t="s">
        <v>580</v>
      </c>
    </row>
    <row r="107" spans="2:5" x14ac:dyDescent="0.25">
      <c r="B107" s="1" t="s">
        <v>100</v>
      </c>
      <c r="C107" s="1" t="s">
        <v>101</v>
      </c>
      <c r="D107" s="2" t="s">
        <v>102</v>
      </c>
      <c r="E107" s="5" t="s">
        <v>580</v>
      </c>
    </row>
    <row r="108" spans="2:5" x14ac:dyDescent="0.25">
      <c r="B108" s="1" t="s">
        <v>103</v>
      </c>
      <c r="C108" s="1" t="s">
        <v>101</v>
      </c>
      <c r="D108" s="2" t="s">
        <v>102</v>
      </c>
      <c r="E108" s="5" t="s">
        <v>580</v>
      </c>
    </row>
    <row r="109" spans="2:5" x14ac:dyDescent="0.25">
      <c r="B109" s="1" t="s">
        <v>104</v>
      </c>
      <c r="C109" s="1" t="s">
        <v>101</v>
      </c>
      <c r="D109" s="2" t="s">
        <v>102</v>
      </c>
      <c r="E109" s="5" t="s">
        <v>580</v>
      </c>
    </row>
    <row r="110" spans="2:5" x14ac:dyDescent="0.25">
      <c r="B110" s="1" t="s">
        <v>97</v>
      </c>
      <c r="C110" s="1" t="s">
        <v>101</v>
      </c>
      <c r="D110" s="2" t="s">
        <v>102</v>
      </c>
      <c r="E110" s="5" t="s">
        <v>580</v>
      </c>
    </row>
    <row r="111" spans="2:5" x14ac:dyDescent="0.25">
      <c r="B111" s="1" t="s">
        <v>105</v>
      </c>
      <c r="C111" s="1" t="s">
        <v>101</v>
      </c>
      <c r="D111" s="2" t="s">
        <v>102</v>
      </c>
      <c r="E111" s="5" t="s">
        <v>580</v>
      </c>
    </row>
    <row r="112" spans="2:5" x14ac:dyDescent="0.25">
      <c r="B112" s="1" t="s">
        <v>97</v>
      </c>
      <c r="C112" s="1" t="s">
        <v>106</v>
      </c>
      <c r="D112" s="2" t="s">
        <v>107</v>
      </c>
      <c r="E112" s="5" t="s">
        <v>580</v>
      </c>
    </row>
    <row r="113" spans="2:5" x14ac:dyDescent="0.25">
      <c r="B113" s="1" t="s">
        <v>103</v>
      </c>
      <c r="C113" s="1" t="s">
        <v>106</v>
      </c>
      <c r="D113" s="2" t="s">
        <v>107</v>
      </c>
      <c r="E113" s="5" t="s">
        <v>580</v>
      </c>
    </row>
    <row r="114" spans="2:5" x14ac:dyDescent="0.25">
      <c r="B114" s="1" t="s">
        <v>108</v>
      </c>
      <c r="C114" s="1" t="s">
        <v>101</v>
      </c>
      <c r="D114" s="2" t="s">
        <v>102</v>
      </c>
      <c r="E114" s="5" t="s">
        <v>580</v>
      </c>
    </row>
    <row r="115" spans="2:5" x14ac:dyDescent="0.25">
      <c r="B115" s="1" t="s">
        <v>108</v>
      </c>
      <c r="C115" s="1" t="s">
        <v>106</v>
      </c>
      <c r="D115" s="2" t="s">
        <v>107</v>
      </c>
      <c r="E115" s="5" t="s">
        <v>580</v>
      </c>
    </row>
    <row r="116" spans="2:5" x14ac:dyDescent="0.25">
      <c r="B116" s="1" t="s">
        <v>109</v>
      </c>
      <c r="C116" s="1" t="s">
        <v>106</v>
      </c>
      <c r="D116" s="2" t="s">
        <v>107</v>
      </c>
      <c r="E116" s="5" t="s">
        <v>580</v>
      </c>
    </row>
    <row r="117" spans="2:5" x14ac:dyDescent="0.25">
      <c r="B117" s="1" t="s">
        <v>100</v>
      </c>
      <c r="C117" s="1" t="s">
        <v>106</v>
      </c>
      <c r="D117" s="2" t="s">
        <v>107</v>
      </c>
      <c r="E117" s="5" t="s">
        <v>580</v>
      </c>
    </row>
    <row r="118" spans="2:5" x14ac:dyDescent="0.25">
      <c r="B118" s="1" t="s">
        <v>105</v>
      </c>
      <c r="C118" s="1" t="s">
        <v>106</v>
      </c>
      <c r="D118" s="2" t="s">
        <v>107</v>
      </c>
      <c r="E118" s="5" t="s">
        <v>580</v>
      </c>
    </row>
    <row r="119" spans="2:5" x14ac:dyDescent="0.25">
      <c r="B119" s="1" t="s">
        <v>110</v>
      </c>
      <c r="C119" s="1" t="s">
        <v>111</v>
      </c>
      <c r="D119" s="2" t="s">
        <v>118</v>
      </c>
      <c r="E119" s="5" t="s">
        <v>581</v>
      </c>
    </row>
    <row r="120" spans="2:5" x14ac:dyDescent="0.25">
      <c r="B120" s="1" t="s">
        <v>113</v>
      </c>
      <c r="C120" s="1" t="s">
        <v>111</v>
      </c>
      <c r="D120" s="2" t="s">
        <v>118</v>
      </c>
      <c r="E120" s="5" t="s">
        <v>581</v>
      </c>
    </row>
    <row r="121" spans="2:5" x14ac:dyDescent="0.25">
      <c r="B121" s="1" t="s">
        <v>115</v>
      </c>
      <c r="C121" s="1" t="s">
        <v>112</v>
      </c>
      <c r="D121" s="2" t="s">
        <v>119</v>
      </c>
      <c r="E121" s="5" t="s">
        <v>581</v>
      </c>
    </row>
    <row r="122" spans="2:5" x14ac:dyDescent="0.25">
      <c r="B122" s="1" t="s">
        <v>114</v>
      </c>
      <c r="C122" s="1" t="s">
        <v>117</v>
      </c>
      <c r="D122" s="2" t="s">
        <v>116</v>
      </c>
      <c r="E122" s="5" t="s">
        <v>582</v>
      </c>
    </row>
    <row r="123" spans="2:5" x14ac:dyDescent="0.25">
      <c r="B123" s="1" t="s">
        <v>121</v>
      </c>
      <c r="C123" s="1" t="s">
        <v>122</v>
      </c>
      <c r="D123" s="2" t="s">
        <v>123</v>
      </c>
      <c r="E123" s="5" t="s">
        <v>583</v>
      </c>
    </row>
    <row r="124" spans="2:5" x14ac:dyDescent="0.25">
      <c r="B124" s="1" t="s">
        <v>124</v>
      </c>
      <c r="C124" s="1" t="s">
        <v>125</v>
      </c>
      <c r="D124" s="2" t="s">
        <v>126</v>
      </c>
      <c r="E124" s="5" t="s">
        <v>584</v>
      </c>
    </row>
    <row r="125" spans="2:5" x14ac:dyDescent="0.25">
      <c r="B125" s="1" t="s">
        <v>127</v>
      </c>
      <c r="C125" s="1" t="s">
        <v>128</v>
      </c>
      <c r="D125" s="2" t="s">
        <v>129</v>
      </c>
      <c r="E125" s="5" t="s">
        <v>584</v>
      </c>
    </row>
    <row r="126" spans="2:5" x14ac:dyDescent="0.25">
      <c r="B126" s="1" t="s">
        <v>127</v>
      </c>
      <c r="C126" s="1" t="s">
        <v>130</v>
      </c>
      <c r="D126" s="2" t="s">
        <v>585</v>
      </c>
      <c r="E126" s="5" t="s">
        <v>586</v>
      </c>
    </row>
    <row r="127" spans="2:5" x14ac:dyDescent="0.25">
      <c r="B127" s="1" t="s">
        <v>131</v>
      </c>
      <c r="C127" s="1" t="s">
        <v>132</v>
      </c>
      <c r="D127" s="2" t="s">
        <v>133</v>
      </c>
      <c r="E127" s="5" t="s">
        <v>587</v>
      </c>
    </row>
    <row r="128" spans="2:5" x14ac:dyDescent="0.25">
      <c r="B128" s="1" t="s">
        <v>134</v>
      </c>
      <c r="C128" s="1" t="s">
        <v>135</v>
      </c>
      <c r="D128" s="2" t="s">
        <v>136</v>
      </c>
      <c r="E128" s="5" t="s">
        <v>587</v>
      </c>
    </row>
    <row r="129" spans="2:5" x14ac:dyDescent="0.25">
      <c r="B129" s="1" t="s">
        <v>137</v>
      </c>
      <c r="C129" s="1" t="s">
        <v>138</v>
      </c>
      <c r="D129" s="2" t="s">
        <v>139</v>
      </c>
      <c r="E129" s="5" t="s">
        <v>587</v>
      </c>
    </row>
    <row r="130" spans="2:5" x14ac:dyDescent="0.25">
      <c r="B130" s="1" t="s">
        <v>140</v>
      </c>
      <c r="C130" s="1" t="s">
        <v>135</v>
      </c>
      <c r="D130" s="2" t="s">
        <v>136</v>
      </c>
      <c r="E130" s="5" t="s">
        <v>587</v>
      </c>
    </row>
    <row r="131" spans="2:5" x14ac:dyDescent="0.25">
      <c r="B131" s="1" t="s">
        <v>141</v>
      </c>
      <c r="C131" s="1" t="s">
        <v>142</v>
      </c>
      <c r="D131" s="2" t="s">
        <v>7</v>
      </c>
      <c r="E131" s="5" t="s">
        <v>588</v>
      </c>
    </row>
    <row r="132" spans="2:5" x14ac:dyDescent="0.25">
      <c r="B132" s="1" t="s">
        <v>143</v>
      </c>
      <c r="C132" s="1" t="s">
        <v>144</v>
      </c>
      <c r="D132" s="2" t="s">
        <v>147</v>
      </c>
      <c r="E132" s="5" t="s">
        <v>588</v>
      </c>
    </row>
    <row r="133" spans="2:5" x14ac:dyDescent="0.25">
      <c r="B133" s="1" t="s">
        <v>145</v>
      </c>
      <c r="C133" s="1" t="s">
        <v>146</v>
      </c>
      <c r="D133" s="2" t="s">
        <v>148</v>
      </c>
      <c r="E133" s="5" t="s">
        <v>589</v>
      </c>
    </row>
    <row r="134" spans="2:5" x14ac:dyDescent="0.25">
      <c r="B134" s="1" t="s">
        <v>149</v>
      </c>
      <c r="C134" s="1" t="s">
        <v>150</v>
      </c>
      <c r="D134" s="2" t="s">
        <v>151</v>
      </c>
      <c r="E134" s="5" t="s">
        <v>590</v>
      </c>
    </row>
    <row r="135" spans="2:5" x14ac:dyDescent="0.25">
      <c r="B135" s="1" t="s">
        <v>152</v>
      </c>
      <c r="C135" s="1" t="s">
        <v>176</v>
      </c>
      <c r="D135" s="2" t="s">
        <v>153</v>
      </c>
      <c r="E135" s="5" t="s">
        <v>590</v>
      </c>
    </row>
    <row r="136" spans="2:5" x14ac:dyDescent="0.25">
      <c r="B136" s="1" t="s">
        <v>152</v>
      </c>
      <c r="C136" s="1" t="s">
        <v>154</v>
      </c>
      <c r="D136" s="2" t="s">
        <v>155</v>
      </c>
      <c r="E136" s="5" t="s">
        <v>591</v>
      </c>
    </row>
    <row r="137" spans="2:5" x14ac:dyDescent="0.25">
      <c r="B137" s="1" t="s">
        <v>156</v>
      </c>
      <c r="C137" s="1" t="s">
        <v>157</v>
      </c>
      <c r="D137" s="2" t="s">
        <v>158</v>
      </c>
      <c r="E137" s="5" t="s">
        <v>592</v>
      </c>
    </row>
    <row r="138" spans="2:5" x14ac:dyDescent="0.25">
      <c r="B138" s="1" t="s">
        <v>159</v>
      </c>
      <c r="C138" s="1" t="s">
        <v>160</v>
      </c>
      <c r="D138" s="2" t="s">
        <v>161</v>
      </c>
      <c r="E138" s="5" t="s">
        <v>598</v>
      </c>
    </row>
    <row r="139" spans="2:5" x14ac:dyDescent="0.25">
      <c r="B139" s="1" t="s">
        <v>162</v>
      </c>
      <c r="C139" s="1" t="s">
        <v>163</v>
      </c>
      <c r="D139" s="2" t="s">
        <v>593</v>
      </c>
      <c r="E139" s="5" t="s">
        <v>599</v>
      </c>
    </row>
    <row r="140" spans="2:5" x14ac:dyDescent="0.25">
      <c r="B140" s="1" t="s">
        <v>162</v>
      </c>
      <c r="C140" s="1" t="s">
        <v>164</v>
      </c>
      <c r="D140" s="2" t="s">
        <v>594</v>
      </c>
      <c r="E140" s="5" t="s">
        <v>600</v>
      </c>
    </row>
    <row r="141" spans="2:5" x14ac:dyDescent="0.25">
      <c r="B141" s="1" t="s">
        <v>162</v>
      </c>
      <c r="C141" s="1" t="s">
        <v>164</v>
      </c>
      <c r="D141" s="2" t="s">
        <v>594</v>
      </c>
      <c r="E141" s="5" t="s">
        <v>601</v>
      </c>
    </row>
    <row r="142" spans="2:5" x14ac:dyDescent="0.25">
      <c r="B142" s="1" t="s">
        <v>162</v>
      </c>
      <c r="C142" s="1" t="s">
        <v>165</v>
      </c>
      <c r="D142" s="2" t="s">
        <v>595</v>
      </c>
      <c r="E142" s="5" t="s">
        <v>602</v>
      </c>
    </row>
    <row r="143" spans="2:5" x14ac:dyDescent="0.25">
      <c r="B143" s="1" t="s">
        <v>166</v>
      </c>
      <c r="C143" s="1" t="s">
        <v>167</v>
      </c>
      <c r="D143" s="2" t="s">
        <v>168</v>
      </c>
      <c r="E143" s="5" t="s">
        <v>603</v>
      </c>
    </row>
    <row r="144" spans="2:5" x14ac:dyDescent="0.25">
      <c r="B144" s="1" t="s">
        <v>169</v>
      </c>
      <c r="C144" s="1" t="s">
        <v>170</v>
      </c>
      <c r="D144" s="2" t="s">
        <v>174</v>
      </c>
      <c r="E144" s="5" t="s">
        <v>604</v>
      </c>
    </row>
    <row r="145" spans="2:5" x14ac:dyDescent="0.25">
      <c r="B145" s="1" t="s">
        <v>171</v>
      </c>
      <c r="C145" s="1" t="s">
        <v>170</v>
      </c>
      <c r="D145" s="2" t="s">
        <v>174</v>
      </c>
      <c r="E145" s="5" t="s">
        <v>604</v>
      </c>
    </row>
    <row r="146" spans="2:5" x14ac:dyDescent="0.25">
      <c r="B146" s="1" t="s">
        <v>172</v>
      </c>
      <c r="C146" s="1" t="s">
        <v>170</v>
      </c>
      <c r="D146" s="2" t="s">
        <v>175</v>
      </c>
      <c r="E146" s="5" t="s">
        <v>604</v>
      </c>
    </row>
    <row r="147" spans="2:5" x14ac:dyDescent="0.25">
      <c r="B147" s="1" t="s">
        <v>173</v>
      </c>
      <c r="C147" s="1" t="s">
        <v>170</v>
      </c>
      <c r="D147" s="2" t="s">
        <v>175</v>
      </c>
      <c r="E147" s="5" t="s">
        <v>604</v>
      </c>
    </row>
    <row r="148" spans="2:5" x14ac:dyDescent="0.25">
      <c r="B148" s="1" t="s">
        <v>177</v>
      </c>
      <c r="C148" s="1" t="s">
        <v>178</v>
      </c>
      <c r="D148" s="2" t="s">
        <v>179</v>
      </c>
      <c r="E148" s="5" t="s">
        <v>605</v>
      </c>
    </row>
    <row r="149" spans="2:5" x14ac:dyDescent="0.25">
      <c r="B149" s="1" t="s">
        <v>180</v>
      </c>
      <c r="C149" s="1" t="s">
        <v>181</v>
      </c>
      <c r="D149" s="2" t="s">
        <v>182</v>
      </c>
      <c r="E149" s="5" t="s">
        <v>606</v>
      </c>
    </row>
    <row r="150" spans="2:5" x14ac:dyDescent="0.25">
      <c r="B150" s="1" t="s">
        <v>183</v>
      </c>
      <c r="C150" s="1" t="s">
        <v>184</v>
      </c>
      <c r="D150" s="2" t="s">
        <v>185</v>
      </c>
      <c r="E150" s="5" t="s">
        <v>607</v>
      </c>
    </row>
    <row r="151" spans="2:5" x14ac:dyDescent="0.25">
      <c r="B151" s="1" t="s">
        <v>186</v>
      </c>
      <c r="C151" s="1" t="s">
        <v>187</v>
      </c>
      <c r="D151" s="2">
        <v>1715202116</v>
      </c>
      <c r="E151" s="5" t="s">
        <v>608</v>
      </c>
    </row>
    <row r="152" spans="2:5" x14ac:dyDescent="0.25">
      <c r="B152" s="1" t="s">
        <v>188</v>
      </c>
      <c r="C152" s="1" t="s">
        <v>189</v>
      </c>
      <c r="D152" s="2">
        <v>1977230780</v>
      </c>
      <c r="E152" s="5" t="s">
        <v>609</v>
      </c>
    </row>
    <row r="153" spans="2:5" x14ac:dyDescent="0.25">
      <c r="B153" s="1" t="s">
        <v>190</v>
      </c>
      <c r="C153" s="1" t="s">
        <v>191</v>
      </c>
      <c r="D153" s="2">
        <v>1818045783</v>
      </c>
      <c r="E153" s="5" t="s">
        <v>610</v>
      </c>
    </row>
    <row r="154" spans="2:5" x14ac:dyDescent="0.25">
      <c r="B154" s="1" t="s">
        <v>192</v>
      </c>
      <c r="C154" s="1" t="s">
        <v>193</v>
      </c>
      <c r="D154" s="2" t="s">
        <v>194</v>
      </c>
      <c r="E154" s="5" t="s">
        <v>611</v>
      </c>
    </row>
    <row r="155" spans="2:5" x14ac:dyDescent="0.25">
      <c r="B155" s="1" t="s">
        <v>195</v>
      </c>
      <c r="C155" s="1" t="s">
        <v>187</v>
      </c>
      <c r="D155" s="2">
        <v>1715202116</v>
      </c>
      <c r="E155" s="5" t="s">
        <v>612</v>
      </c>
    </row>
    <row r="156" spans="2:5" x14ac:dyDescent="0.25">
      <c r="B156" s="1" t="s">
        <v>196</v>
      </c>
      <c r="C156" s="1" t="s">
        <v>187</v>
      </c>
      <c r="D156" s="2">
        <v>1715202116</v>
      </c>
      <c r="E156" s="5" t="s">
        <v>613</v>
      </c>
    </row>
    <row r="157" spans="2:5" x14ac:dyDescent="0.25">
      <c r="B157" s="1" t="s">
        <v>197</v>
      </c>
      <c r="C157" s="1" t="s">
        <v>198</v>
      </c>
      <c r="D157" s="2" t="s">
        <v>199</v>
      </c>
      <c r="E157" s="5" t="s">
        <v>614</v>
      </c>
    </row>
    <row r="158" spans="2:5" x14ac:dyDescent="0.25">
      <c r="B158" s="1" t="s">
        <v>200</v>
      </c>
      <c r="C158" s="1" t="s">
        <v>201</v>
      </c>
      <c r="D158" s="2">
        <v>1708123479</v>
      </c>
      <c r="E158" s="5" t="s">
        <v>641</v>
      </c>
    </row>
    <row r="159" spans="2:5" x14ac:dyDescent="0.25">
      <c r="B159" s="1" t="s">
        <v>202</v>
      </c>
      <c r="C159" s="1" t="s">
        <v>203</v>
      </c>
      <c r="D159" s="2" t="s">
        <v>204</v>
      </c>
      <c r="E159" s="5" t="s">
        <v>615</v>
      </c>
    </row>
    <row r="160" spans="2:5" x14ac:dyDescent="0.25">
      <c r="B160" s="1" t="s">
        <v>205</v>
      </c>
      <c r="C160" s="1" t="s">
        <v>206</v>
      </c>
      <c r="D160" s="2" t="s">
        <v>207</v>
      </c>
      <c r="E160" s="5" t="s">
        <v>615</v>
      </c>
    </row>
    <row r="161" spans="2:5" x14ac:dyDescent="0.25">
      <c r="B161" s="1" t="s">
        <v>208</v>
      </c>
      <c r="C161" s="1" t="s">
        <v>209</v>
      </c>
      <c r="D161" s="2" t="s">
        <v>210</v>
      </c>
      <c r="E161" s="5" t="s">
        <v>615</v>
      </c>
    </row>
    <row r="162" spans="2:5" x14ac:dyDescent="0.25">
      <c r="B162" s="1" t="s">
        <v>211</v>
      </c>
      <c r="C162" s="1" t="s">
        <v>53</v>
      </c>
      <c r="D162" s="2" t="s">
        <v>212</v>
      </c>
      <c r="E162" s="5" t="s">
        <v>615</v>
      </c>
    </row>
    <row r="163" spans="2:5" x14ac:dyDescent="0.25">
      <c r="B163" s="1" t="s">
        <v>213</v>
      </c>
      <c r="C163" s="1" t="s">
        <v>214</v>
      </c>
      <c r="D163" s="2" t="s">
        <v>221</v>
      </c>
      <c r="E163" s="5" t="s">
        <v>616</v>
      </c>
    </row>
    <row r="164" spans="2:5" x14ac:dyDescent="0.25">
      <c r="B164" s="1" t="s">
        <v>215</v>
      </c>
      <c r="C164" s="1" t="s">
        <v>216</v>
      </c>
      <c r="D164" s="2" t="s">
        <v>217</v>
      </c>
      <c r="E164" s="5" t="s">
        <v>617</v>
      </c>
    </row>
    <row r="165" spans="2:5" x14ac:dyDescent="0.25">
      <c r="B165" s="1" t="s">
        <v>218</v>
      </c>
      <c r="C165" s="1" t="s">
        <v>219</v>
      </c>
      <c r="D165" s="2" t="s">
        <v>220</v>
      </c>
      <c r="E165" s="5" t="s">
        <v>618</v>
      </c>
    </row>
    <row r="166" spans="2:5" x14ac:dyDescent="0.25">
      <c r="B166" s="1" t="s">
        <v>222</v>
      </c>
      <c r="C166" s="1" t="s">
        <v>128</v>
      </c>
      <c r="D166" s="2" t="s">
        <v>129</v>
      </c>
      <c r="E166" s="5" t="s">
        <v>619</v>
      </c>
    </row>
    <row r="167" spans="2:5" x14ac:dyDescent="0.25">
      <c r="B167" s="1" t="s">
        <v>223</v>
      </c>
      <c r="C167" s="1" t="s">
        <v>224</v>
      </c>
      <c r="D167" s="2" t="s">
        <v>225</v>
      </c>
      <c r="E167" s="5" t="s">
        <v>620</v>
      </c>
    </row>
    <row r="168" spans="2:5" x14ac:dyDescent="0.25">
      <c r="B168" s="1" t="s">
        <v>226</v>
      </c>
      <c r="C168" s="1" t="s">
        <v>227</v>
      </c>
      <c r="D168" s="2" t="s">
        <v>228</v>
      </c>
      <c r="E168" s="5" t="s">
        <v>620</v>
      </c>
    </row>
    <row r="169" spans="2:5" x14ac:dyDescent="0.25">
      <c r="B169" s="1" t="s">
        <v>229</v>
      </c>
      <c r="C169" s="1" t="s">
        <v>224</v>
      </c>
      <c r="D169" s="2" t="s">
        <v>228</v>
      </c>
      <c r="E169" s="5" t="s">
        <v>620</v>
      </c>
    </row>
    <row r="170" spans="2:5" x14ac:dyDescent="0.25">
      <c r="B170" s="1" t="s">
        <v>230</v>
      </c>
      <c r="C170" s="1" t="s">
        <v>232</v>
      </c>
      <c r="D170" s="2" t="s">
        <v>233</v>
      </c>
      <c r="E170" s="5" t="s">
        <v>620</v>
      </c>
    </row>
    <row r="171" spans="2:5" x14ac:dyDescent="0.25">
      <c r="B171" s="1" t="s">
        <v>231</v>
      </c>
      <c r="C171" s="1" t="s">
        <v>239</v>
      </c>
      <c r="D171" s="2" t="s">
        <v>240</v>
      </c>
      <c r="E171" s="5" t="s">
        <v>620</v>
      </c>
    </row>
    <row r="172" spans="2:5" x14ac:dyDescent="0.25">
      <c r="B172" s="1" t="s">
        <v>234</v>
      </c>
      <c r="C172" s="1" t="s">
        <v>224</v>
      </c>
      <c r="D172" s="2" t="s">
        <v>242</v>
      </c>
      <c r="E172" s="5" t="s">
        <v>620</v>
      </c>
    </row>
    <row r="173" spans="2:5" x14ac:dyDescent="0.25">
      <c r="B173" s="1" t="s">
        <v>235</v>
      </c>
      <c r="C173" s="1" t="s">
        <v>245</v>
      </c>
      <c r="D173" s="2" t="s">
        <v>246</v>
      </c>
      <c r="E173" s="5" t="s">
        <v>620</v>
      </c>
    </row>
    <row r="174" spans="2:5" x14ac:dyDescent="0.25">
      <c r="B174" s="1" t="s">
        <v>236</v>
      </c>
      <c r="C174" s="1" t="s">
        <v>247</v>
      </c>
      <c r="D174" s="2" t="s">
        <v>246</v>
      </c>
      <c r="E174" s="5" t="s">
        <v>620</v>
      </c>
    </row>
    <row r="175" spans="2:5" x14ac:dyDescent="0.25">
      <c r="B175" s="1" t="s">
        <v>237</v>
      </c>
      <c r="C175" s="1" t="s">
        <v>245</v>
      </c>
      <c r="D175" s="2" t="s">
        <v>246</v>
      </c>
      <c r="E175" s="5" t="s">
        <v>620</v>
      </c>
    </row>
    <row r="176" spans="2:5" x14ac:dyDescent="0.25">
      <c r="B176" s="1" t="s">
        <v>238</v>
      </c>
      <c r="C176" s="1" t="s">
        <v>247</v>
      </c>
      <c r="D176" s="2" t="s">
        <v>246</v>
      </c>
      <c r="E176" s="5" t="s">
        <v>620</v>
      </c>
    </row>
    <row r="177" spans="2:5" x14ac:dyDescent="0.25">
      <c r="B177" s="1" t="s">
        <v>241</v>
      </c>
      <c r="C177" s="1" t="s">
        <v>245</v>
      </c>
      <c r="D177" s="2" t="s">
        <v>246</v>
      </c>
      <c r="E177" s="5" t="s">
        <v>620</v>
      </c>
    </row>
    <row r="178" spans="2:5" x14ac:dyDescent="0.25">
      <c r="B178" s="1" t="s">
        <v>243</v>
      </c>
      <c r="C178" s="1" t="s">
        <v>247</v>
      </c>
      <c r="D178" s="2" t="s">
        <v>246</v>
      </c>
      <c r="E178" s="5" t="s">
        <v>620</v>
      </c>
    </row>
    <row r="179" spans="2:5" x14ac:dyDescent="0.25">
      <c r="B179" s="1" t="s">
        <v>244</v>
      </c>
      <c r="C179" s="1" t="s">
        <v>224</v>
      </c>
      <c r="D179" s="2" t="s">
        <v>228</v>
      </c>
      <c r="E179" s="5" t="s">
        <v>620</v>
      </c>
    </row>
    <row r="180" spans="2:5" x14ac:dyDescent="0.25">
      <c r="B180" s="1" t="s">
        <v>248</v>
      </c>
      <c r="C180" s="1" t="s">
        <v>232</v>
      </c>
      <c r="D180" s="2" t="s">
        <v>233</v>
      </c>
      <c r="E180" s="5" t="s">
        <v>620</v>
      </c>
    </row>
    <row r="181" spans="2:5" x14ac:dyDescent="0.25">
      <c r="B181" s="1" t="s">
        <v>249</v>
      </c>
      <c r="C181" s="1" t="s">
        <v>224</v>
      </c>
      <c r="D181" s="2" t="s">
        <v>228</v>
      </c>
      <c r="E181" s="5" t="s">
        <v>620</v>
      </c>
    </row>
    <row r="182" spans="2:5" x14ac:dyDescent="0.25">
      <c r="B182" s="1" t="s">
        <v>250</v>
      </c>
      <c r="C182" s="1" t="s">
        <v>201</v>
      </c>
      <c r="D182" s="2" t="s">
        <v>251</v>
      </c>
      <c r="E182" s="6" t="s">
        <v>621</v>
      </c>
    </row>
    <row r="183" spans="2:5" x14ac:dyDescent="0.25">
      <c r="B183" s="1" t="s">
        <v>252</v>
      </c>
      <c r="C183" s="1" t="s">
        <v>253</v>
      </c>
      <c r="D183" s="2" t="s">
        <v>254</v>
      </c>
      <c r="E183" s="5" t="s">
        <v>622</v>
      </c>
    </row>
    <row r="184" spans="2:5" x14ac:dyDescent="0.25">
      <c r="B184" s="1" t="s">
        <v>255</v>
      </c>
      <c r="C184" s="1" t="s">
        <v>256</v>
      </c>
      <c r="D184" s="2" t="s">
        <v>257</v>
      </c>
      <c r="E184" s="5" t="s">
        <v>623</v>
      </c>
    </row>
    <row r="185" spans="2:5" x14ac:dyDescent="0.25">
      <c r="B185" s="1" t="s">
        <v>258</v>
      </c>
      <c r="C185" s="1" t="s">
        <v>259</v>
      </c>
      <c r="D185" s="2" t="s">
        <v>260</v>
      </c>
      <c r="E185" s="5" t="s">
        <v>624</v>
      </c>
    </row>
    <row r="186" spans="2:5" x14ac:dyDescent="0.25">
      <c r="B186" s="1" t="s">
        <v>261</v>
      </c>
      <c r="C186" s="1" t="s">
        <v>262</v>
      </c>
      <c r="D186" s="2" t="s">
        <v>263</v>
      </c>
      <c r="E186" s="5" t="s">
        <v>624</v>
      </c>
    </row>
    <row r="187" spans="2:5" x14ac:dyDescent="0.25">
      <c r="B187" s="1" t="s">
        <v>264</v>
      </c>
      <c r="C187" s="1" t="s">
        <v>265</v>
      </c>
      <c r="D187" s="2" t="s">
        <v>266</v>
      </c>
      <c r="E187" s="5" t="s">
        <v>624</v>
      </c>
    </row>
    <row r="188" spans="2:5" x14ac:dyDescent="0.25">
      <c r="B188" s="1" t="s">
        <v>269</v>
      </c>
      <c r="C188" s="1" t="s">
        <v>267</v>
      </c>
      <c r="D188" s="2" t="s">
        <v>266</v>
      </c>
      <c r="E188" s="5" t="s">
        <v>624</v>
      </c>
    </row>
    <row r="189" spans="2:5" x14ac:dyDescent="0.25">
      <c r="B189" s="1" t="s">
        <v>268</v>
      </c>
      <c r="C189" s="1" t="s">
        <v>262</v>
      </c>
      <c r="D189" s="2" t="s">
        <v>263</v>
      </c>
      <c r="E189" s="5" t="s">
        <v>624</v>
      </c>
    </row>
    <row r="190" spans="2:5" x14ac:dyDescent="0.25">
      <c r="B190" s="1" t="s">
        <v>258</v>
      </c>
      <c r="C190" s="1" t="s">
        <v>270</v>
      </c>
      <c r="D190" s="2" t="s">
        <v>271</v>
      </c>
      <c r="E190" s="5" t="s">
        <v>624</v>
      </c>
    </row>
    <row r="191" spans="2:5" x14ac:dyDescent="0.25">
      <c r="B191" s="1" t="s">
        <v>261</v>
      </c>
      <c r="C191" s="1" t="s">
        <v>272</v>
      </c>
      <c r="D191" s="2" t="s">
        <v>273</v>
      </c>
      <c r="E191" s="5" t="s">
        <v>624</v>
      </c>
    </row>
    <row r="192" spans="2:5" x14ac:dyDescent="0.25">
      <c r="B192" s="1" t="s">
        <v>274</v>
      </c>
      <c r="C192" s="1" t="s">
        <v>184</v>
      </c>
      <c r="D192" s="2" t="s">
        <v>275</v>
      </c>
      <c r="E192" s="5" t="s">
        <v>625</v>
      </c>
    </row>
    <row r="193" spans="2:5" x14ac:dyDescent="0.25">
      <c r="B193" s="1" t="s">
        <v>276</v>
      </c>
      <c r="C193" s="1" t="s">
        <v>277</v>
      </c>
      <c r="D193" s="2" t="s">
        <v>278</v>
      </c>
      <c r="E193" s="5" t="s">
        <v>626</v>
      </c>
    </row>
    <row r="194" spans="2:5" x14ac:dyDescent="0.25">
      <c r="B194" s="1" t="s">
        <v>279</v>
      </c>
      <c r="C194" s="1" t="s">
        <v>277</v>
      </c>
      <c r="D194" s="2" t="s">
        <v>278</v>
      </c>
      <c r="E194" s="5" t="s">
        <v>627</v>
      </c>
    </row>
    <row r="195" spans="2:5" x14ac:dyDescent="0.25">
      <c r="B195" s="1" t="s">
        <v>279</v>
      </c>
      <c r="C195" s="1" t="s">
        <v>280</v>
      </c>
      <c r="D195" s="2" t="s">
        <v>278</v>
      </c>
      <c r="E195" s="5" t="s">
        <v>628</v>
      </c>
    </row>
    <row r="196" spans="2:5" x14ac:dyDescent="0.25">
      <c r="B196" s="1" t="s">
        <v>274</v>
      </c>
      <c r="C196" s="1" t="s">
        <v>281</v>
      </c>
      <c r="D196" s="2" t="s">
        <v>282</v>
      </c>
      <c r="E196" s="5" t="s">
        <v>629</v>
      </c>
    </row>
    <row r="197" spans="2:5" x14ac:dyDescent="0.25">
      <c r="B197" s="1" t="s">
        <v>283</v>
      </c>
      <c r="C197" s="1" t="s">
        <v>280</v>
      </c>
      <c r="D197" s="2" t="s">
        <v>278</v>
      </c>
      <c r="E197" s="5" t="s">
        <v>630</v>
      </c>
    </row>
    <row r="198" spans="2:5" x14ac:dyDescent="0.25">
      <c r="B198" s="1" t="s">
        <v>284</v>
      </c>
      <c r="C198" s="1" t="s">
        <v>280</v>
      </c>
      <c r="D198" s="2" t="s">
        <v>278</v>
      </c>
      <c r="E198" s="5" t="s">
        <v>631</v>
      </c>
    </row>
    <row r="199" spans="2:5" x14ac:dyDescent="0.25">
      <c r="B199" s="1" t="s">
        <v>285</v>
      </c>
      <c r="C199" s="1" t="s">
        <v>95</v>
      </c>
      <c r="D199" s="2" t="s">
        <v>648</v>
      </c>
      <c r="E199" s="5" t="s">
        <v>632</v>
      </c>
    </row>
    <row r="200" spans="2:5" x14ac:dyDescent="0.25">
      <c r="B200" s="1" t="s">
        <v>286</v>
      </c>
      <c r="C200" s="1" t="s">
        <v>287</v>
      </c>
      <c r="D200" s="2" t="s">
        <v>288</v>
      </c>
      <c r="E200" s="5" t="s">
        <v>633</v>
      </c>
    </row>
    <row r="201" spans="2:5" x14ac:dyDescent="0.25">
      <c r="B201" s="1" t="s">
        <v>289</v>
      </c>
      <c r="C201" s="1" t="s">
        <v>290</v>
      </c>
      <c r="D201" s="2" t="s">
        <v>291</v>
      </c>
      <c r="E201" s="5" t="s">
        <v>632</v>
      </c>
    </row>
    <row r="202" spans="2:5" x14ac:dyDescent="0.25">
      <c r="B202" s="1" t="s">
        <v>292</v>
      </c>
      <c r="C202" s="1" t="s">
        <v>293</v>
      </c>
      <c r="D202" s="2" t="s">
        <v>294</v>
      </c>
      <c r="E202" s="5" t="s">
        <v>634</v>
      </c>
    </row>
    <row r="203" spans="2:5" x14ac:dyDescent="0.25">
      <c r="B203" s="1" t="s">
        <v>295</v>
      </c>
      <c r="C203" s="1" t="s">
        <v>296</v>
      </c>
      <c r="D203" s="2" t="s">
        <v>297</v>
      </c>
      <c r="E203" s="5" t="s">
        <v>635</v>
      </c>
    </row>
    <row r="204" spans="2:5" x14ac:dyDescent="0.25">
      <c r="B204" s="1" t="s">
        <v>298</v>
      </c>
      <c r="C204" s="1" t="s">
        <v>299</v>
      </c>
      <c r="D204" s="2" t="s">
        <v>300</v>
      </c>
      <c r="E204" s="5" t="s">
        <v>635</v>
      </c>
    </row>
    <row r="205" spans="2:5" x14ac:dyDescent="0.25">
      <c r="B205" s="1" t="s">
        <v>301</v>
      </c>
      <c r="C205" s="1" t="s">
        <v>302</v>
      </c>
      <c r="D205" s="2" t="s">
        <v>647</v>
      </c>
      <c r="E205" s="5" t="s">
        <v>635</v>
      </c>
    </row>
    <row r="206" spans="2:5" x14ac:dyDescent="0.25">
      <c r="B206" s="1" t="s">
        <v>303</v>
      </c>
      <c r="C206" s="1" t="s">
        <v>299</v>
      </c>
      <c r="D206" s="2" t="s">
        <v>300</v>
      </c>
      <c r="E206" s="5" t="s">
        <v>635</v>
      </c>
    </row>
    <row r="207" spans="2:5" x14ac:dyDescent="0.25">
      <c r="B207" s="1" t="s">
        <v>304</v>
      </c>
      <c r="C207" s="1" t="s">
        <v>302</v>
      </c>
      <c r="D207" s="2" t="s">
        <v>647</v>
      </c>
      <c r="E207" s="5" t="s">
        <v>635</v>
      </c>
    </row>
    <row r="208" spans="2:5" x14ac:dyDescent="0.25">
      <c r="B208" s="1" t="s">
        <v>301</v>
      </c>
      <c r="C208" s="1" t="s">
        <v>305</v>
      </c>
      <c r="D208" s="2" t="s">
        <v>306</v>
      </c>
      <c r="E208" s="5" t="s">
        <v>635</v>
      </c>
    </row>
    <row r="209" spans="2:5" x14ac:dyDescent="0.25">
      <c r="B209" s="1" t="s">
        <v>295</v>
      </c>
      <c r="C209" s="1" t="s">
        <v>307</v>
      </c>
      <c r="D209" s="2" t="s">
        <v>308</v>
      </c>
      <c r="E209" s="5" t="s">
        <v>635</v>
      </c>
    </row>
    <row r="210" spans="2:5" x14ac:dyDescent="0.25">
      <c r="B210" s="1" t="s">
        <v>298</v>
      </c>
      <c r="C210" s="1" t="s">
        <v>270</v>
      </c>
      <c r="D210" s="2" t="s">
        <v>308</v>
      </c>
      <c r="E210" s="5" t="s">
        <v>635</v>
      </c>
    </row>
    <row r="211" spans="2:5" x14ac:dyDescent="0.25">
      <c r="B211" s="1" t="s">
        <v>309</v>
      </c>
      <c r="C211" s="1" t="s">
        <v>310</v>
      </c>
      <c r="D211" s="2" t="s">
        <v>647</v>
      </c>
      <c r="E211" s="5" t="s">
        <v>635</v>
      </c>
    </row>
    <row r="212" spans="2:5" x14ac:dyDescent="0.25">
      <c r="B212" s="1" t="s">
        <v>304</v>
      </c>
      <c r="C212" s="1" t="s">
        <v>310</v>
      </c>
      <c r="D212" s="2" t="s">
        <v>647</v>
      </c>
      <c r="E212" s="5" t="s">
        <v>635</v>
      </c>
    </row>
    <row r="213" spans="2:5" x14ac:dyDescent="0.25">
      <c r="B213" s="1" t="s">
        <v>303</v>
      </c>
      <c r="C213" s="1" t="s">
        <v>310</v>
      </c>
      <c r="D213" s="2" t="s">
        <v>647</v>
      </c>
      <c r="E213" s="5" t="s">
        <v>635</v>
      </c>
    </row>
    <row r="214" spans="2:5" x14ac:dyDescent="0.25">
      <c r="B214" s="1" t="s">
        <v>311</v>
      </c>
      <c r="C214" s="1" t="s">
        <v>310</v>
      </c>
      <c r="D214" s="2" t="s">
        <v>647</v>
      </c>
      <c r="E214" s="5" t="s">
        <v>635</v>
      </c>
    </row>
    <row r="215" spans="2:5" x14ac:dyDescent="0.25">
      <c r="B215" s="1" t="s">
        <v>301</v>
      </c>
      <c r="C215" s="1" t="s">
        <v>302</v>
      </c>
      <c r="D215" s="2" t="s">
        <v>647</v>
      </c>
      <c r="E215" s="5" t="s">
        <v>635</v>
      </c>
    </row>
    <row r="216" spans="2:5" x14ac:dyDescent="0.25">
      <c r="B216" s="1" t="s">
        <v>295</v>
      </c>
      <c r="C216" s="1" t="s">
        <v>296</v>
      </c>
      <c r="D216" s="2" t="s">
        <v>297</v>
      </c>
      <c r="E216" s="5" t="s">
        <v>635</v>
      </c>
    </row>
    <row r="217" spans="2:5" x14ac:dyDescent="0.25">
      <c r="B217" s="1" t="s">
        <v>312</v>
      </c>
      <c r="C217" s="1" t="s">
        <v>313</v>
      </c>
      <c r="D217" s="2" t="s">
        <v>314</v>
      </c>
      <c r="E217" s="5" t="s">
        <v>636</v>
      </c>
    </row>
    <row r="218" spans="2:5" x14ac:dyDescent="0.25">
      <c r="B218" s="1" t="s">
        <v>315</v>
      </c>
      <c r="C218" s="1" t="s">
        <v>316</v>
      </c>
      <c r="D218" s="2" t="s">
        <v>317</v>
      </c>
      <c r="E218" s="5" t="s">
        <v>637</v>
      </c>
    </row>
    <row r="219" spans="2:5" x14ac:dyDescent="0.25">
      <c r="B219" s="1" t="s">
        <v>318</v>
      </c>
      <c r="C219" s="1" t="s">
        <v>319</v>
      </c>
      <c r="D219" s="2" t="s">
        <v>340</v>
      </c>
      <c r="E219" s="5" t="s">
        <v>638</v>
      </c>
    </row>
    <row r="220" spans="2:5" x14ac:dyDescent="0.25">
      <c r="B220" s="1" t="s">
        <v>320</v>
      </c>
      <c r="C220" s="1" t="s">
        <v>319</v>
      </c>
      <c r="D220" s="2" t="s">
        <v>340</v>
      </c>
      <c r="E220" s="5" t="s">
        <v>638</v>
      </c>
    </row>
    <row r="221" spans="2:5" x14ac:dyDescent="0.25">
      <c r="B221" s="1" t="s">
        <v>322</v>
      </c>
      <c r="C221" s="1" t="s">
        <v>319</v>
      </c>
      <c r="D221" s="2" t="s">
        <v>340</v>
      </c>
      <c r="E221" s="5" t="s">
        <v>638</v>
      </c>
    </row>
    <row r="222" spans="2:5" x14ac:dyDescent="0.25">
      <c r="B222" s="1" t="s">
        <v>325</v>
      </c>
      <c r="C222" s="1" t="s">
        <v>319</v>
      </c>
      <c r="D222" s="2" t="s">
        <v>340</v>
      </c>
      <c r="E222" s="5" t="s">
        <v>638</v>
      </c>
    </row>
    <row r="223" spans="2:5" x14ac:dyDescent="0.25">
      <c r="B223" s="1" t="s">
        <v>326</v>
      </c>
      <c r="C223" s="1" t="s">
        <v>319</v>
      </c>
      <c r="D223" s="2" t="s">
        <v>340</v>
      </c>
      <c r="E223" s="5" t="s">
        <v>638</v>
      </c>
    </row>
    <row r="224" spans="2:5" x14ac:dyDescent="0.25">
      <c r="B224" s="1" t="s">
        <v>327</v>
      </c>
      <c r="C224" s="1" t="s">
        <v>319</v>
      </c>
      <c r="D224" s="2" t="s">
        <v>340</v>
      </c>
      <c r="E224" s="5" t="s">
        <v>638</v>
      </c>
    </row>
    <row r="225" spans="2:5" x14ac:dyDescent="0.25">
      <c r="B225" s="1" t="s">
        <v>333</v>
      </c>
      <c r="C225" s="1" t="s">
        <v>319</v>
      </c>
      <c r="D225" s="2" t="s">
        <v>340</v>
      </c>
      <c r="E225" s="5" t="s">
        <v>638</v>
      </c>
    </row>
    <row r="226" spans="2:5" x14ac:dyDescent="0.25">
      <c r="B226" s="1" t="s">
        <v>336</v>
      </c>
      <c r="C226" s="1" t="s">
        <v>319</v>
      </c>
      <c r="D226" s="2" t="s">
        <v>340</v>
      </c>
      <c r="E226" s="5" t="s">
        <v>638</v>
      </c>
    </row>
    <row r="227" spans="2:5" x14ac:dyDescent="0.25">
      <c r="B227" s="1" t="s">
        <v>337</v>
      </c>
      <c r="C227" s="1" t="s">
        <v>319</v>
      </c>
      <c r="D227" s="2" t="s">
        <v>340</v>
      </c>
      <c r="E227" s="5" t="s">
        <v>638</v>
      </c>
    </row>
    <row r="228" spans="2:5" x14ac:dyDescent="0.25">
      <c r="B228" s="1" t="s">
        <v>341</v>
      </c>
      <c r="C228" s="1" t="s">
        <v>319</v>
      </c>
      <c r="D228" s="2" t="s">
        <v>340</v>
      </c>
      <c r="E228" s="5" t="s">
        <v>638</v>
      </c>
    </row>
    <row r="229" spans="2:5" x14ac:dyDescent="0.25">
      <c r="B229" s="1" t="s">
        <v>349</v>
      </c>
      <c r="C229" s="1" t="s">
        <v>319</v>
      </c>
      <c r="D229" s="2" t="s">
        <v>340</v>
      </c>
      <c r="E229" s="5" t="s">
        <v>638</v>
      </c>
    </row>
    <row r="230" spans="2:5" x14ac:dyDescent="0.25">
      <c r="B230" s="1" t="s">
        <v>353</v>
      </c>
      <c r="C230" s="1" t="s">
        <v>319</v>
      </c>
      <c r="D230" s="2" t="s">
        <v>340</v>
      </c>
      <c r="E230" s="5" t="s">
        <v>638</v>
      </c>
    </row>
    <row r="231" spans="2:5" x14ac:dyDescent="0.25">
      <c r="B231" s="1" t="s">
        <v>355</v>
      </c>
      <c r="C231" s="1" t="s">
        <v>319</v>
      </c>
      <c r="D231" s="2" t="s">
        <v>340</v>
      </c>
      <c r="E231" s="5" t="s">
        <v>638</v>
      </c>
    </row>
    <row r="232" spans="2:5" x14ac:dyDescent="0.25">
      <c r="B232" s="1" t="s">
        <v>366</v>
      </c>
      <c r="C232" s="1" t="s">
        <v>319</v>
      </c>
      <c r="D232" s="2" t="s">
        <v>340</v>
      </c>
      <c r="E232" s="5" t="s">
        <v>638</v>
      </c>
    </row>
    <row r="233" spans="2:5" x14ac:dyDescent="0.25">
      <c r="B233" s="1" t="s">
        <v>369</v>
      </c>
      <c r="C233" s="1" t="s">
        <v>319</v>
      </c>
      <c r="D233" s="2" t="s">
        <v>340</v>
      </c>
      <c r="E233" s="5" t="s">
        <v>638</v>
      </c>
    </row>
    <row r="234" spans="2:5" x14ac:dyDescent="0.25">
      <c r="B234" s="1" t="s">
        <v>338</v>
      </c>
      <c r="C234" s="1" t="s">
        <v>339</v>
      </c>
      <c r="D234" s="2" t="s">
        <v>340</v>
      </c>
      <c r="E234" s="5" t="s">
        <v>638</v>
      </c>
    </row>
    <row r="235" spans="2:5" x14ac:dyDescent="0.25">
      <c r="B235" s="1" t="s">
        <v>329</v>
      </c>
      <c r="C235" s="1" t="s">
        <v>339</v>
      </c>
      <c r="D235" s="2" t="s">
        <v>340</v>
      </c>
      <c r="E235" s="5" t="s">
        <v>638</v>
      </c>
    </row>
    <row r="236" spans="2:5" x14ac:dyDescent="0.25">
      <c r="B236" s="1" t="s">
        <v>346</v>
      </c>
      <c r="C236" s="1" t="s">
        <v>339</v>
      </c>
      <c r="D236" s="2" t="s">
        <v>340</v>
      </c>
      <c r="E236" s="5" t="s">
        <v>638</v>
      </c>
    </row>
    <row r="237" spans="2:5" x14ac:dyDescent="0.25">
      <c r="B237" s="1" t="s">
        <v>347</v>
      </c>
      <c r="C237" s="1" t="s">
        <v>339</v>
      </c>
      <c r="D237" s="2" t="s">
        <v>340</v>
      </c>
      <c r="E237" s="5" t="s">
        <v>638</v>
      </c>
    </row>
    <row r="238" spans="2:5" x14ac:dyDescent="0.25">
      <c r="B238" s="1" t="s">
        <v>348</v>
      </c>
      <c r="C238" s="1" t="s">
        <v>339</v>
      </c>
      <c r="D238" s="2" t="s">
        <v>340</v>
      </c>
      <c r="E238" s="5" t="s">
        <v>638</v>
      </c>
    </row>
    <row r="239" spans="2:5" x14ac:dyDescent="0.25">
      <c r="B239" s="1" t="s">
        <v>350</v>
      </c>
      <c r="C239" s="1" t="s">
        <v>339</v>
      </c>
      <c r="D239" s="2" t="s">
        <v>340</v>
      </c>
      <c r="E239" s="5" t="s">
        <v>638</v>
      </c>
    </row>
    <row r="240" spans="2:5" x14ac:dyDescent="0.25">
      <c r="B240" s="1" t="s">
        <v>354</v>
      </c>
      <c r="C240" s="1" t="s">
        <v>339</v>
      </c>
      <c r="D240" s="2" t="s">
        <v>340</v>
      </c>
      <c r="E240" s="5" t="s">
        <v>638</v>
      </c>
    </row>
    <row r="241" spans="2:5" x14ac:dyDescent="0.25">
      <c r="B241" s="1" t="s">
        <v>357</v>
      </c>
      <c r="C241" s="1" t="s">
        <v>339</v>
      </c>
      <c r="D241" s="2" t="s">
        <v>340</v>
      </c>
      <c r="E241" s="5" t="s">
        <v>638</v>
      </c>
    </row>
    <row r="242" spans="2:5" x14ac:dyDescent="0.25">
      <c r="B242" s="1" t="s">
        <v>358</v>
      </c>
      <c r="C242" s="1" t="s">
        <v>339</v>
      </c>
      <c r="D242" s="2" t="s">
        <v>340</v>
      </c>
      <c r="E242" s="5" t="s">
        <v>638</v>
      </c>
    </row>
    <row r="243" spans="2:5" x14ac:dyDescent="0.25">
      <c r="B243" s="1" t="s">
        <v>360</v>
      </c>
      <c r="C243" s="1" t="s">
        <v>339</v>
      </c>
      <c r="D243" s="2" t="s">
        <v>340</v>
      </c>
      <c r="E243" s="5" t="s">
        <v>638</v>
      </c>
    </row>
    <row r="244" spans="2:5" x14ac:dyDescent="0.25">
      <c r="B244" s="1" t="s">
        <v>321</v>
      </c>
      <c r="C244" s="1" t="s">
        <v>361</v>
      </c>
      <c r="D244" s="2" t="s">
        <v>362</v>
      </c>
      <c r="E244" s="5" t="s">
        <v>638</v>
      </c>
    </row>
    <row r="245" spans="2:5" x14ac:dyDescent="0.25">
      <c r="B245" s="1" t="s">
        <v>323</v>
      </c>
      <c r="C245" s="1" t="s">
        <v>361</v>
      </c>
      <c r="D245" s="2" t="s">
        <v>362</v>
      </c>
      <c r="E245" s="5" t="s">
        <v>638</v>
      </c>
    </row>
    <row r="246" spans="2:5" x14ac:dyDescent="0.25">
      <c r="B246" s="1" t="s">
        <v>324</v>
      </c>
      <c r="C246" s="1" t="s">
        <v>361</v>
      </c>
      <c r="D246" s="2" t="s">
        <v>362</v>
      </c>
      <c r="E246" s="5" t="s">
        <v>638</v>
      </c>
    </row>
    <row r="247" spans="2:5" x14ac:dyDescent="0.25">
      <c r="B247" s="1" t="s">
        <v>328</v>
      </c>
      <c r="C247" s="1" t="s">
        <v>361</v>
      </c>
      <c r="D247" s="2" t="s">
        <v>362</v>
      </c>
      <c r="E247" s="5" t="s">
        <v>638</v>
      </c>
    </row>
    <row r="248" spans="2:5" x14ac:dyDescent="0.25">
      <c r="B248" s="1" t="s">
        <v>330</v>
      </c>
      <c r="C248" s="1" t="s">
        <v>361</v>
      </c>
      <c r="D248" s="2" t="s">
        <v>362</v>
      </c>
      <c r="E248" s="5" t="s">
        <v>638</v>
      </c>
    </row>
    <row r="249" spans="2:5" x14ac:dyDescent="0.25">
      <c r="B249" s="1" t="s">
        <v>342</v>
      </c>
      <c r="C249" s="1" t="s">
        <v>361</v>
      </c>
      <c r="D249" s="2" t="s">
        <v>362</v>
      </c>
      <c r="E249" s="5" t="s">
        <v>638</v>
      </c>
    </row>
    <row r="250" spans="2:5" x14ac:dyDescent="0.25">
      <c r="B250" s="1" t="s">
        <v>343</v>
      </c>
      <c r="C250" s="1" t="s">
        <v>361</v>
      </c>
      <c r="D250" s="2" t="s">
        <v>362</v>
      </c>
      <c r="E250" s="5" t="s">
        <v>638</v>
      </c>
    </row>
    <row r="251" spans="2:5" x14ac:dyDescent="0.25">
      <c r="B251" s="1" t="s">
        <v>328</v>
      </c>
      <c r="C251" s="1" t="s">
        <v>361</v>
      </c>
      <c r="D251" s="2" t="s">
        <v>362</v>
      </c>
      <c r="E251" s="5" t="s">
        <v>638</v>
      </c>
    </row>
    <row r="252" spans="2:5" x14ac:dyDescent="0.25">
      <c r="B252" s="1" t="s">
        <v>359</v>
      </c>
      <c r="C252" s="1" t="s">
        <v>361</v>
      </c>
      <c r="D252" s="2" t="s">
        <v>362</v>
      </c>
      <c r="E252" s="5" t="s">
        <v>638</v>
      </c>
    </row>
    <row r="253" spans="2:5" x14ac:dyDescent="0.25">
      <c r="B253" s="1" t="s">
        <v>343</v>
      </c>
      <c r="C253" s="1" t="s">
        <v>361</v>
      </c>
      <c r="D253" s="2" t="s">
        <v>362</v>
      </c>
      <c r="E253" s="5" t="s">
        <v>638</v>
      </c>
    </row>
    <row r="254" spans="2:5" x14ac:dyDescent="0.25">
      <c r="B254" s="1" t="s">
        <v>330</v>
      </c>
      <c r="C254" s="1" t="s">
        <v>361</v>
      </c>
      <c r="D254" s="2" t="s">
        <v>362</v>
      </c>
      <c r="E254" s="5" t="s">
        <v>638</v>
      </c>
    </row>
    <row r="255" spans="2:5" x14ac:dyDescent="0.25">
      <c r="B255" s="1" t="s">
        <v>351</v>
      </c>
      <c r="C255" s="1" t="s">
        <v>361</v>
      </c>
      <c r="D255" s="2" t="s">
        <v>362</v>
      </c>
      <c r="E255" s="5" t="s">
        <v>638</v>
      </c>
    </row>
    <row r="256" spans="2:5" x14ac:dyDescent="0.25">
      <c r="B256" s="1" t="s">
        <v>370</v>
      </c>
      <c r="C256" s="1" t="s">
        <v>361</v>
      </c>
      <c r="D256" s="2" t="s">
        <v>362</v>
      </c>
      <c r="E256" s="5" t="s">
        <v>638</v>
      </c>
    </row>
    <row r="257" spans="2:5" x14ac:dyDescent="0.25">
      <c r="B257" s="1" t="s">
        <v>331</v>
      </c>
      <c r="C257" s="1" t="s">
        <v>367</v>
      </c>
      <c r="D257" s="2" t="s">
        <v>368</v>
      </c>
      <c r="E257" s="5" t="s">
        <v>638</v>
      </c>
    </row>
    <row r="258" spans="2:5" x14ac:dyDescent="0.25">
      <c r="B258" s="1" t="s">
        <v>332</v>
      </c>
      <c r="C258" s="1" t="s">
        <v>367</v>
      </c>
      <c r="D258" s="2" t="s">
        <v>368</v>
      </c>
      <c r="E258" s="5" t="s">
        <v>638</v>
      </c>
    </row>
    <row r="259" spans="2:5" x14ac:dyDescent="0.25">
      <c r="B259" s="1" t="s">
        <v>334</v>
      </c>
      <c r="C259" s="1" t="s">
        <v>367</v>
      </c>
      <c r="D259" s="2" t="s">
        <v>368</v>
      </c>
      <c r="E259" s="5" t="s">
        <v>638</v>
      </c>
    </row>
    <row r="260" spans="2:5" x14ac:dyDescent="0.25">
      <c r="B260" s="1" t="s">
        <v>335</v>
      </c>
      <c r="C260" s="1" t="s">
        <v>367</v>
      </c>
      <c r="D260" s="2" t="s">
        <v>368</v>
      </c>
      <c r="E260" s="5" t="s">
        <v>638</v>
      </c>
    </row>
    <row r="261" spans="2:5" x14ac:dyDescent="0.25">
      <c r="B261" s="1" t="s">
        <v>344</v>
      </c>
      <c r="C261" s="1" t="s">
        <v>367</v>
      </c>
      <c r="D261" s="2" t="s">
        <v>368</v>
      </c>
      <c r="E261" s="5" t="s">
        <v>638</v>
      </c>
    </row>
    <row r="262" spans="2:5" x14ac:dyDescent="0.25">
      <c r="B262" s="1" t="s">
        <v>345</v>
      </c>
      <c r="C262" s="1" t="s">
        <v>367</v>
      </c>
      <c r="D262" s="2" t="s">
        <v>368</v>
      </c>
      <c r="E262" s="5" t="s">
        <v>638</v>
      </c>
    </row>
    <row r="263" spans="2:5" x14ac:dyDescent="0.25">
      <c r="B263" s="1" t="s">
        <v>328</v>
      </c>
      <c r="C263" s="1" t="s">
        <v>367</v>
      </c>
      <c r="D263" s="2" t="s">
        <v>368</v>
      </c>
      <c r="E263" s="5" t="s">
        <v>638</v>
      </c>
    </row>
    <row r="264" spans="2:5" x14ac:dyDescent="0.25">
      <c r="B264" s="1" t="s">
        <v>351</v>
      </c>
      <c r="C264" s="1" t="s">
        <v>367</v>
      </c>
      <c r="D264" s="2" t="s">
        <v>368</v>
      </c>
      <c r="E264" s="5" t="s">
        <v>638</v>
      </c>
    </row>
    <row r="265" spans="2:5" x14ac:dyDescent="0.25">
      <c r="B265" s="1" t="s">
        <v>352</v>
      </c>
      <c r="C265" s="1" t="s">
        <v>367</v>
      </c>
      <c r="D265" s="2" t="s">
        <v>368</v>
      </c>
      <c r="E265" s="5" t="s">
        <v>638</v>
      </c>
    </row>
    <row r="266" spans="2:5" x14ac:dyDescent="0.25">
      <c r="B266" s="1" t="s">
        <v>330</v>
      </c>
      <c r="C266" s="1" t="s">
        <v>367</v>
      </c>
      <c r="D266" s="2" t="s">
        <v>368</v>
      </c>
      <c r="E266" s="5" t="s">
        <v>638</v>
      </c>
    </row>
    <row r="267" spans="2:5" x14ac:dyDescent="0.25">
      <c r="B267" s="1" t="s">
        <v>343</v>
      </c>
      <c r="C267" s="1" t="s">
        <v>367</v>
      </c>
      <c r="D267" s="2" t="s">
        <v>368</v>
      </c>
      <c r="E267" s="5" t="s">
        <v>638</v>
      </c>
    </row>
    <row r="268" spans="2:5" x14ac:dyDescent="0.25">
      <c r="B268" s="1" t="s">
        <v>321</v>
      </c>
      <c r="C268" s="1" t="s">
        <v>367</v>
      </c>
      <c r="D268" s="2" t="s">
        <v>368</v>
      </c>
      <c r="E268" s="5" t="s">
        <v>638</v>
      </c>
    </row>
    <row r="269" spans="2:5" x14ac:dyDescent="0.25">
      <c r="B269" s="1" t="s">
        <v>359</v>
      </c>
      <c r="C269" s="1" t="s">
        <v>367</v>
      </c>
      <c r="D269" s="2" t="s">
        <v>368</v>
      </c>
      <c r="E269" s="5" t="s">
        <v>638</v>
      </c>
    </row>
    <row r="270" spans="2:5" x14ac:dyDescent="0.25">
      <c r="B270" s="1" t="s">
        <v>342</v>
      </c>
      <c r="C270" s="1" t="s">
        <v>367</v>
      </c>
      <c r="D270" s="2" t="s">
        <v>368</v>
      </c>
      <c r="E270" s="5" t="s">
        <v>638</v>
      </c>
    </row>
    <row r="271" spans="2:5" x14ac:dyDescent="0.25">
      <c r="B271" s="1" t="s">
        <v>335</v>
      </c>
      <c r="C271" s="1" t="s">
        <v>367</v>
      </c>
      <c r="D271" s="2" t="s">
        <v>368</v>
      </c>
      <c r="E271" s="5" t="s">
        <v>638</v>
      </c>
    </row>
    <row r="272" spans="2:5" x14ac:dyDescent="0.25">
      <c r="B272" s="1" t="s">
        <v>345</v>
      </c>
      <c r="C272" s="1" t="s">
        <v>367</v>
      </c>
      <c r="D272" s="2" t="s">
        <v>368</v>
      </c>
      <c r="E272" s="5" t="s">
        <v>638</v>
      </c>
    </row>
    <row r="273" spans="2:5" x14ac:dyDescent="0.25">
      <c r="B273" s="1" t="s">
        <v>356</v>
      </c>
      <c r="C273" s="1" t="s">
        <v>367</v>
      </c>
      <c r="D273" s="2" t="s">
        <v>368</v>
      </c>
      <c r="E273" s="5" t="s">
        <v>638</v>
      </c>
    </row>
    <row r="274" spans="2:5" x14ac:dyDescent="0.25">
      <c r="B274" s="1" t="s">
        <v>332</v>
      </c>
      <c r="C274" s="1" t="s">
        <v>367</v>
      </c>
      <c r="D274" s="2" t="s">
        <v>368</v>
      </c>
      <c r="E274" s="5" t="s">
        <v>638</v>
      </c>
    </row>
    <row r="275" spans="2:5" x14ac:dyDescent="0.25">
      <c r="B275" s="1" t="s">
        <v>363</v>
      </c>
      <c r="C275" s="1" t="s">
        <v>364</v>
      </c>
      <c r="D275" s="2" t="s">
        <v>365</v>
      </c>
      <c r="E275" s="5" t="s">
        <v>638</v>
      </c>
    </row>
    <row r="276" spans="2:5" x14ac:dyDescent="0.25">
      <c r="B276" s="1" t="s">
        <v>371</v>
      </c>
      <c r="C276" s="1" t="s">
        <v>372</v>
      </c>
      <c r="D276" s="2" t="s">
        <v>373</v>
      </c>
      <c r="E276" s="5" t="s">
        <v>639</v>
      </c>
    </row>
    <row r="277" spans="2:5" x14ac:dyDescent="0.25">
      <c r="B277" s="1" t="s">
        <v>374</v>
      </c>
      <c r="C277" s="1" t="s">
        <v>377</v>
      </c>
      <c r="D277" s="2" t="s">
        <v>378</v>
      </c>
      <c r="E277" s="5" t="s">
        <v>596</v>
      </c>
    </row>
    <row r="278" spans="2:5" x14ac:dyDescent="0.25">
      <c r="B278" s="1" t="s">
        <v>374</v>
      </c>
      <c r="C278" s="1" t="s">
        <v>375</v>
      </c>
      <c r="D278" s="2" t="s">
        <v>376</v>
      </c>
      <c r="E278" s="5" t="s">
        <v>596</v>
      </c>
    </row>
    <row r="279" spans="2:5" x14ac:dyDescent="0.25">
      <c r="B279" s="1" t="s">
        <v>379</v>
      </c>
      <c r="C279" s="1" t="s">
        <v>380</v>
      </c>
      <c r="D279" s="2" t="s">
        <v>381</v>
      </c>
      <c r="E279" s="5" t="s">
        <v>640</v>
      </c>
    </row>
    <row r="280" spans="2:5" x14ac:dyDescent="0.25">
      <c r="B280" s="1" t="s">
        <v>382</v>
      </c>
      <c r="C280" s="1" t="s">
        <v>383</v>
      </c>
      <c r="D280" s="2" t="s">
        <v>384</v>
      </c>
      <c r="E280" s="5" t="s">
        <v>640</v>
      </c>
    </row>
    <row r="281" spans="2:5" x14ac:dyDescent="0.25">
      <c r="B281" s="1" t="s">
        <v>385</v>
      </c>
      <c r="C281" s="1" t="s">
        <v>386</v>
      </c>
      <c r="D281" s="2" t="s">
        <v>387</v>
      </c>
      <c r="E281" s="5" t="s">
        <v>640</v>
      </c>
    </row>
    <row r="282" spans="2:5" x14ac:dyDescent="0.25">
      <c r="B282" s="1" t="s">
        <v>388</v>
      </c>
      <c r="C282" s="1" t="s">
        <v>383</v>
      </c>
      <c r="D282" s="2" t="s">
        <v>384</v>
      </c>
      <c r="E282" s="5" t="s">
        <v>640</v>
      </c>
    </row>
    <row r="283" spans="2:5" x14ac:dyDescent="0.25">
      <c r="B283" s="1" t="s">
        <v>389</v>
      </c>
      <c r="C283" s="1" t="s">
        <v>390</v>
      </c>
      <c r="D283" s="2" t="s">
        <v>646</v>
      </c>
      <c r="E283" s="5" t="s">
        <v>597</v>
      </c>
    </row>
    <row r="284" spans="2:5" x14ac:dyDescent="0.25">
      <c r="B284" s="1" t="s">
        <v>391</v>
      </c>
      <c r="C284" s="1" t="s">
        <v>390</v>
      </c>
      <c r="D284" s="2" t="s">
        <v>646</v>
      </c>
      <c r="E284" s="5" t="s">
        <v>597</v>
      </c>
    </row>
    <row r="285" spans="2:5" x14ac:dyDescent="0.25">
      <c r="B285" s="1" t="s">
        <v>392</v>
      </c>
      <c r="C285" s="1" t="s">
        <v>390</v>
      </c>
      <c r="D285" s="2" t="s">
        <v>646</v>
      </c>
      <c r="E285" s="5" t="s">
        <v>597</v>
      </c>
    </row>
    <row r="286" spans="2:5" x14ac:dyDescent="0.25">
      <c r="B286" s="1" t="s">
        <v>392</v>
      </c>
      <c r="C286" s="1" t="s">
        <v>393</v>
      </c>
      <c r="D286" s="2" t="s">
        <v>394</v>
      </c>
      <c r="E286" s="5" t="s">
        <v>597</v>
      </c>
    </row>
    <row r="287" spans="2:5" x14ac:dyDescent="0.25">
      <c r="B287" s="1" t="s">
        <v>395</v>
      </c>
      <c r="C287" s="1" t="s">
        <v>390</v>
      </c>
      <c r="D287" s="2" t="s">
        <v>646</v>
      </c>
      <c r="E287" s="5" t="s">
        <v>597</v>
      </c>
    </row>
    <row r="288" spans="2:5" x14ac:dyDescent="0.25">
      <c r="B288" s="1" t="s">
        <v>396</v>
      </c>
      <c r="C288" s="1" t="s">
        <v>390</v>
      </c>
      <c r="D288" s="2" t="s">
        <v>646</v>
      </c>
      <c r="E288" s="5" t="s">
        <v>597</v>
      </c>
    </row>
    <row r="289" spans="2:5" x14ac:dyDescent="0.25">
      <c r="B289" s="1" t="s">
        <v>397</v>
      </c>
      <c r="C289" s="1" t="s">
        <v>390</v>
      </c>
      <c r="D289" s="2" t="s">
        <v>646</v>
      </c>
      <c r="E289" s="5" t="s">
        <v>597</v>
      </c>
    </row>
    <row r="290" spans="2:5" x14ac:dyDescent="0.25">
      <c r="B290" s="1" t="s">
        <v>398</v>
      </c>
      <c r="C290" s="1" t="s">
        <v>399</v>
      </c>
      <c r="D290" s="2" t="s">
        <v>400</v>
      </c>
      <c r="E290" s="5" t="s">
        <v>597</v>
      </c>
    </row>
    <row r="291" spans="2:5" x14ac:dyDescent="0.25">
      <c r="B291" s="1" t="s">
        <v>401</v>
      </c>
      <c r="C291" s="1" t="s">
        <v>390</v>
      </c>
      <c r="D291" s="2" t="s">
        <v>646</v>
      </c>
      <c r="E291" s="5" t="s">
        <v>597</v>
      </c>
    </row>
    <row r="292" spans="2:5" x14ac:dyDescent="0.25">
      <c r="B292" s="1" t="s">
        <v>402</v>
      </c>
      <c r="C292" s="1" t="s">
        <v>390</v>
      </c>
      <c r="D292" s="2" t="s">
        <v>646</v>
      </c>
      <c r="E292" s="5" t="s">
        <v>597</v>
      </c>
    </row>
    <row r="293" spans="2:5" x14ac:dyDescent="0.25">
      <c r="B293" s="1" t="s">
        <v>403</v>
      </c>
      <c r="C293" s="1" t="s">
        <v>390</v>
      </c>
      <c r="D293" s="2" t="s">
        <v>646</v>
      </c>
      <c r="E293" s="5" t="s">
        <v>597</v>
      </c>
    </row>
    <row r="294" spans="2:5" x14ac:dyDescent="0.25">
      <c r="B294" s="1" t="s">
        <v>403</v>
      </c>
      <c r="C294" s="1" t="s">
        <v>404</v>
      </c>
      <c r="D294" s="2" t="s">
        <v>405</v>
      </c>
      <c r="E294" s="5" t="s">
        <v>597</v>
      </c>
    </row>
    <row r="295" spans="2:5" x14ac:dyDescent="0.25">
      <c r="B295" s="1" t="s">
        <v>406</v>
      </c>
      <c r="C295" s="1" t="s">
        <v>407</v>
      </c>
      <c r="D295" s="2" t="s">
        <v>408</v>
      </c>
      <c r="E295" s="5" t="s">
        <v>597</v>
      </c>
    </row>
    <row r="296" spans="2:5" x14ac:dyDescent="0.25">
      <c r="B296" s="1" t="s">
        <v>397</v>
      </c>
      <c r="C296" s="1" t="s">
        <v>407</v>
      </c>
      <c r="D296" s="2" t="s">
        <v>408</v>
      </c>
      <c r="E296" s="5" t="s">
        <v>597</v>
      </c>
    </row>
    <row r="297" spans="2:5" x14ac:dyDescent="0.25">
      <c r="B297" s="1" t="s">
        <v>409</v>
      </c>
      <c r="C297" s="1" t="s">
        <v>399</v>
      </c>
      <c r="D297" s="2" t="s">
        <v>400</v>
      </c>
      <c r="E297" s="5" t="s">
        <v>597</v>
      </c>
    </row>
    <row r="298" spans="2:5" x14ac:dyDescent="0.25">
      <c r="B298" s="1" t="s">
        <v>410</v>
      </c>
      <c r="C298" s="1" t="s">
        <v>399</v>
      </c>
      <c r="D298" s="2" t="s">
        <v>400</v>
      </c>
      <c r="E298" s="5" t="s">
        <v>597</v>
      </c>
    </row>
    <row r="299" spans="2:5" x14ac:dyDescent="0.25">
      <c r="B299" s="1" t="s">
        <v>411</v>
      </c>
      <c r="C299" s="1" t="s">
        <v>412</v>
      </c>
      <c r="D299" s="2" t="s">
        <v>413</v>
      </c>
      <c r="E299" s="5" t="s">
        <v>597</v>
      </c>
    </row>
    <row r="300" spans="2:5" x14ac:dyDescent="0.25">
      <c r="B300" s="1" t="s">
        <v>398</v>
      </c>
      <c r="C300" s="1" t="s">
        <v>390</v>
      </c>
      <c r="D300" s="2" t="s">
        <v>646</v>
      </c>
      <c r="E300" s="5" t="s">
        <v>597</v>
      </c>
    </row>
    <row r="301" spans="2:5" x14ac:dyDescent="0.25">
      <c r="B301" s="1" t="s">
        <v>414</v>
      </c>
      <c r="C301" s="1" t="s">
        <v>399</v>
      </c>
      <c r="D301" s="2" t="s">
        <v>400</v>
      </c>
      <c r="E301" s="5" t="s">
        <v>597</v>
      </c>
    </row>
    <row r="302" spans="2:5" x14ac:dyDescent="0.25">
      <c r="B302" s="1" t="s">
        <v>415</v>
      </c>
      <c r="C302" s="1" t="s">
        <v>390</v>
      </c>
      <c r="D302" s="2" t="s">
        <v>646</v>
      </c>
      <c r="E302" s="5" t="s">
        <v>597</v>
      </c>
    </row>
    <row r="303" spans="2:5" x14ac:dyDescent="0.25">
      <c r="B303" s="1" t="s">
        <v>406</v>
      </c>
      <c r="C303" s="1" t="s">
        <v>412</v>
      </c>
      <c r="D303" s="2" t="s">
        <v>413</v>
      </c>
      <c r="E303" s="5" t="s">
        <v>597</v>
      </c>
    </row>
    <row r="304" spans="2:5" x14ac:dyDescent="0.25">
      <c r="B304" s="1" t="s">
        <v>416</v>
      </c>
      <c r="C304" s="1" t="s">
        <v>393</v>
      </c>
      <c r="D304" s="2" t="s">
        <v>394</v>
      </c>
      <c r="E304" s="5" t="s">
        <v>597</v>
      </c>
    </row>
    <row r="305" spans="2:5" x14ac:dyDescent="0.25">
      <c r="B305" s="1" t="s">
        <v>416</v>
      </c>
      <c r="C305" s="1" t="s">
        <v>390</v>
      </c>
      <c r="D305" s="2" t="s">
        <v>646</v>
      </c>
      <c r="E305" s="5" t="s">
        <v>597</v>
      </c>
    </row>
    <row r="306" spans="2:5" x14ac:dyDescent="0.25">
      <c r="B306" s="1" t="s">
        <v>397</v>
      </c>
      <c r="C306" s="1" t="s">
        <v>184</v>
      </c>
      <c r="D306" s="2" t="s">
        <v>417</v>
      </c>
      <c r="E306" s="5" t="s">
        <v>597</v>
      </c>
    </row>
    <row r="307" spans="2:5" x14ac:dyDescent="0.25">
      <c r="B307" s="1" t="s">
        <v>418</v>
      </c>
      <c r="C307" s="1" t="s">
        <v>390</v>
      </c>
      <c r="D307" s="2" t="s">
        <v>646</v>
      </c>
      <c r="E307" s="5" t="s">
        <v>597</v>
      </c>
    </row>
    <row r="308" spans="2:5" x14ac:dyDescent="0.25">
      <c r="B308" s="1" t="s">
        <v>419</v>
      </c>
      <c r="C308" s="1" t="s">
        <v>390</v>
      </c>
      <c r="D308" s="2" t="s">
        <v>646</v>
      </c>
      <c r="E308" s="5" t="s">
        <v>597</v>
      </c>
    </row>
    <row r="309" spans="2:5" x14ac:dyDescent="0.25">
      <c r="B309" s="1" t="s">
        <v>406</v>
      </c>
      <c r="C309" s="1" t="s">
        <v>390</v>
      </c>
      <c r="D309" s="2" t="s">
        <v>646</v>
      </c>
      <c r="E309" s="5" t="s">
        <v>597</v>
      </c>
    </row>
    <row r="310" spans="2:5" x14ac:dyDescent="0.25">
      <c r="B310" s="1" t="s">
        <v>420</v>
      </c>
      <c r="C310" s="1" t="s">
        <v>390</v>
      </c>
      <c r="D310" s="2" t="s">
        <v>646</v>
      </c>
      <c r="E310" s="5" t="s">
        <v>597</v>
      </c>
    </row>
    <row r="311" spans="2:5" x14ac:dyDescent="0.25">
      <c r="B311" s="1" t="s">
        <v>406</v>
      </c>
      <c r="C311" s="1" t="s">
        <v>421</v>
      </c>
      <c r="D311" s="2" t="s">
        <v>422</v>
      </c>
      <c r="E311" s="5" t="s">
        <v>597</v>
      </c>
    </row>
    <row r="312" spans="2:5" x14ac:dyDescent="0.25">
      <c r="B312" s="1" t="s">
        <v>423</v>
      </c>
      <c r="C312" s="1" t="s">
        <v>390</v>
      </c>
      <c r="D312" s="2" t="s">
        <v>646</v>
      </c>
      <c r="E312" s="5" t="s">
        <v>597</v>
      </c>
    </row>
    <row r="313" spans="2:5" x14ac:dyDescent="0.25">
      <c r="B313" s="1" t="s">
        <v>420</v>
      </c>
      <c r="C313" s="1" t="s">
        <v>424</v>
      </c>
      <c r="D313" s="2" t="s">
        <v>646</v>
      </c>
      <c r="E313" s="5" t="s">
        <v>597</v>
      </c>
    </row>
    <row r="314" spans="2:5" x14ac:dyDescent="0.25">
      <c r="B314" s="1" t="s">
        <v>396</v>
      </c>
      <c r="C314" s="1" t="s">
        <v>424</v>
      </c>
      <c r="D314" s="2" t="s">
        <v>646</v>
      </c>
      <c r="E314" s="5" t="s">
        <v>597</v>
      </c>
    </row>
    <row r="315" spans="2:5" x14ac:dyDescent="0.25">
      <c r="B315" s="1" t="s">
        <v>425</v>
      </c>
      <c r="C315" s="1" t="s">
        <v>390</v>
      </c>
      <c r="D315" s="2" t="s">
        <v>646</v>
      </c>
      <c r="E315" s="5" t="s">
        <v>597</v>
      </c>
    </row>
    <row r="316" spans="2:5" x14ac:dyDescent="0.25">
      <c r="B316" s="1" t="s">
        <v>426</v>
      </c>
      <c r="C316" s="1" t="s">
        <v>390</v>
      </c>
      <c r="D316" s="2" t="s">
        <v>646</v>
      </c>
      <c r="E316" s="5" t="s">
        <v>597</v>
      </c>
    </row>
    <row r="317" spans="2:5" x14ac:dyDescent="0.25">
      <c r="B317" s="1" t="s">
        <v>403</v>
      </c>
      <c r="C317" s="1" t="s">
        <v>424</v>
      </c>
      <c r="D317" s="2" t="s">
        <v>646</v>
      </c>
      <c r="E317" s="5" t="s">
        <v>597</v>
      </c>
    </row>
    <row r="318" spans="2:5" x14ac:dyDescent="0.25">
      <c r="B318" s="1" t="s">
        <v>392</v>
      </c>
      <c r="C318" s="1" t="s">
        <v>424</v>
      </c>
      <c r="D318" s="2" t="s">
        <v>646</v>
      </c>
      <c r="E318" s="5" t="s">
        <v>597</v>
      </c>
    </row>
    <row r="319" spans="2:5" x14ac:dyDescent="0.25">
      <c r="B319" s="1" t="s">
        <v>402</v>
      </c>
      <c r="C319" s="1" t="s">
        <v>404</v>
      </c>
      <c r="D319" s="2" t="s">
        <v>405</v>
      </c>
      <c r="E319" s="5" t="s">
        <v>597</v>
      </c>
    </row>
    <row r="320" spans="2:5" x14ac:dyDescent="0.25">
      <c r="B320" s="1" t="s">
        <v>397</v>
      </c>
      <c r="C320" s="1" t="s">
        <v>424</v>
      </c>
      <c r="D320" s="2" t="s">
        <v>646</v>
      </c>
      <c r="E320" s="5" t="s">
        <v>597</v>
      </c>
    </row>
    <row r="321" spans="2:5" x14ac:dyDescent="0.25">
      <c r="B321" s="1" t="s">
        <v>391</v>
      </c>
      <c r="C321" s="1" t="s">
        <v>424</v>
      </c>
      <c r="D321" s="2" t="s">
        <v>646</v>
      </c>
      <c r="E321" s="5" t="s">
        <v>597</v>
      </c>
    </row>
    <row r="322" spans="2:5" x14ac:dyDescent="0.25">
      <c r="B322" s="1" t="s">
        <v>425</v>
      </c>
      <c r="C322" s="1" t="s">
        <v>427</v>
      </c>
      <c r="D322" s="2" t="s">
        <v>428</v>
      </c>
      <c r="E322" s="5" t="s">
        <v>597</v>
      </c>
    </row>
    <row r="323" spans="2:5" x14ac:dyDescent="0.25">
      <c r="B323" s="1" t="s">
        <v>429</v>
      </c>
      <c r="C323" s="1" t="s">
        <v>390</v>
      </c>
      <c r="D323" s="2" t="s">
        <v>646</v>
      </c>
      <c r="E323" s="5" t="s">
        <v>597</v>
      </c>
    </row>
    <row r="324" spans="2:5" x14ac:dyDescent="0.25">
      <c r="B324" s="1" t="s">
        <v>392</v>
      </c>
      <c r="C324" s="1" t="s">
        <v>407</v>
      </c>
      <c r="D324" s="2" t="s">
        <v>408</v>
      </c>
      <c r="E324" s="5" t="s">
        <v>597</v>
      </c>
    </row>
    <row r="325" spans="2:5" x14ac:dyDescent="0.25">
      <c r="B325" s="1" t="s">
        <v>426</v>
      </c>
      <c r="C325" s="1" t="s">
        <v>424</v>
      </c>
      <c r="D325" s="2" t="s">
        <v>646</v>
      </c>
      <c r="E325" s="5" t="s">
        <v>597</v>
      </c>
    </row>
    <row r="326" spans="2:5" x14ac:dyDescent="0.25">
      <c r="B326" s="1" t="s">
        <v>406</v>
      </c>
      <c r="C326" s="1" t="s">
        <v>424</v>
      </c>
      <c r="D326" s="2" t="s">
        <v>646</v>
      </c>
      <c r="E326" s="5" t="s">
        <v>597</v>
      </c>
    </row>
    <row r="327" spans="2:5" x14ac:dyDescent="0.25">
      <c r="B327" s="1" t="s">
        <v>416</v>
      </c>
      <c r="C327" s="1" t="s">
        <v>424</v>
      </c>
      <c r="D327" s="2" t="s">
        <v>646</v>
      </c>
      <c r="E327" s="5" t="s">
        <v>597</v>
      </c>
    </row>
    <row r="328" spans="2:5" x14ac:dyDescent="0.25">
      <c r="B328" s="1" t="s">
        <v>398</v>
      </c>
      <c r="C328" s="1" t="s">
        <v>424</v>
      </c>
      <c r="D328" s="2" t="s">
        <v>646</v>
      </c>
      <c r="E328" s="5" t="s">
        <v>597</v>
      </c>
    </row>
    <row r="329" spans="2:5" x14ac:dyDescent="0.25">
      <c r="B329" s="1" t="s">
        <v>430</v>
      </c>
      <c r="C329" s="1" t="s">
        <v>424</v>
      </c>
      <c r="D329" s="2" t="s">
        <v>646</v>
      </c>
      <c r="E329" s="5" t="s">
        <v>597</v>
      </c>
    </row>
    <row r="330" spans="2:5" x14ac:dyDescent="0.25">
      <c r="B330" s="1" t="s">
        <v>392</v>
      </c>
      <c r="C330" s="1" t="s">
        <v>407</v>
      </c>
      <c r="D330" s="2" t="s">
        <v>431</v>
      </c>
      <c r="E330" s="5" t="s">
        <v>597</v>
      </c>
    </row>
    <row r="331" spans="2:5" x14ac:dyDescent="0.25">
      <c r="B331" s="1" t="s">
        <v>432</v>
      </c>
      <c r="C331" s="1" t="s">
        <v>424</v>
      </c>
      <c r="D331" s="2" t="s">
        <v>646</v>
      </c>
      <c r="E331" s="5" t="s">
        <v>597</v>
      </c>
    </row>
    <row r="332" spans="2:5" x14ac:dyDescent="0.25">
      <c r="B332" s="1" t="s">
        <v>396</v>
      </c>
      <c r="C332" s="1" t="s">
        <v>433</v>
      </c>
      <c r="D332" s="2" t="s">
        <v>434</v>
      </c>
      <c r="E332" s="5" t="s">
        <v>597</v>
      </c>
    </row>
    <row r="333" spans="2:5" x14ac:dyDescent="0.25">
      <c r="B333" s="1" t="s">
        <v>420</v>
      </c>
      <c r="C333" s="1" t="s">
        <v>92</v>
      </c>
      <c r="D333" s="2" t="s">
        <v>435</v>
      </c>
      <c r="E333" s="5" t="s">
        <v>597</v>
      </c>
    </row>
    <row r="334" spans="2:5" x14ac:dyDescent="0.25">
      <c r="B334" s="1" t="s">
        <v>395</v>
      </c>
      <c r="C334" s="1" t="s">
        <v>424</v>
      </c>
      <c r="D334" s="2" t="s">
        <v>646</v>
      </c>
      <c r="E334" s="5" t="s">
        <v>597</v>
      </c>
    </row>
    <row r="335" spans="2:5" x14ac:dyDescent="0.25">
      <c r="B335" s="1" t="s">
        <v>392</v>
      </c>
      <c r="C335" s="1" t="s">
        <v>436</v>
      </c>
      <c r="D335" s="2" t="s">
        <v>422</v>
      </c>
      <c r="E335" s="5" t="s">
        <v>597</v>
      </c>
    </row>
    <row r="336" spans="2:5" x14ac:dyDescent="0.25">
      <c r="B336" s="1" t="s">
        <v>401</v>
      </c>
      <c r="C336" s="1" t="s">
        <v>424</v>
      </c>
      <c r="D336" s="2" t="s">
        <v>646</v>
      </c>
      <c r="E336" s="5" t="s">
        <v>597</v>
      </c>
    </row>
    <row r="337" spans="2:5" x14ac:dyDescent="0.25">
      <c r="B337" s="1" t="s">
        <v>415</v>
      </c>
      <c r="C337" s="1" t="s">
        <v>424</v>
      </c>
      <c r="D337" s="2" t="s">
        <v>646</v>
      </c>
      <c r="E337" s="5" t="s">
        <v>597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showGridLines="0" view="pageBreakPreview" topLeftCell="A16" zoomScale="70" zoomScaleNormal="100" zoomScaleSheetLayoutView="70" zoomScalePageLayoutView="40" workbookViewId="0">
      <selection activeCell="R8" sqref="R8"/>
    </sheetView>
  </sheetViews>
  <sheetFormatPr defaultRowHeight="15" x14ac:dyDescent="0.25"/>
  <cols>
    <col min="1" max="1" width="5" style="12" customWidth="1"/>
    <col min="2" max="2" width="25.5703125" style="12" customWidth="1"/>
    <col min="3" max="3" width="52.140625" style="12" customWidth="1"/>
    <col min="4" max="4" width="8.42578125" style="12" customWidth="1"/>
    <col min="5" max="5" width="7.5703125" style="12" customWidth="1"/>
    <col min="6" max="6" width="7.5703125" style="62" customWidth="1"/>
    <col min="7" max="7" width="9.7109375" style="62" bestFit="1" customWidth="1"/>
    <col min="8" max="8" width="9.42578125" style="12" customWidth="1"/>
    <col min="9" max="9" width="11.28515625" style="12" customWidth="1"/>
    <col min="10" max="10" width="14" style="54" customWidth="1"/>
    <col min="11" max="11" width="14.7109375" style="54" customWidth="1"/>
    <col min="12" max="12" width="12.7109375" style="12" customWidth="1"/>
    <col min="13" max="13" width="19.28515625" style="12" customWidth="1"/>
    <col min="14" max="14" width="5" style="12" customWidth="1"/>
    <col min="15" max="16384" width="9.140625" style="12"/>
  </cols>
  <sheetData>
    <row r="1" spans="1:14" ht="22.5" x14ac:dyDescent="0.25">
      <c r="A1" s="8"/>
      <c r="B1" s="9"/>
      <c r="C1" s="9"/>
      <c r="D1" s="9"/>
      <c r="E1" s="9"/>
      <c r="F1" s="55"/>
      <c r="G1" s="55"/>
      <c r="H1" s="9"/>
      <c r="I1" s="9"/>
      <c r="J1" s="10"/>
      <c r="K1" s="10"/>
      <c r="L1" s="9"/>
      <c r="M1" s="9"/>
      <c r="N1" s="11"/>
    </row>
    <row r="2" spans="1:14" s="20" customFormat="1" ht="90" x14ac:dyDescent="0.25">
      <c r="A2" s="13"/>
      <c r="B2" s="14" t="s">
        <v>649</v>
      </c>
      <c r="C2" s="14" t="s">
        <v>650</v>
      </c>
      <c r="D2" s="15" t="s">
        <v>651</v>
      </c>
      <c r="E2" s="14" t="s">
        <v>652</v>
      </c>
      <c r="F2" s="56" t="s">
        <v>653</v>
      </c>
      <c r="G2" s="56" t="s">
        <v>654</v>
      </c>
      <c r="H2" s="15" t="s">
        <v>650</v>
      </c>
      <c r="I2" s="16" t="s">
        <v>655</v>
      </c>
      <c r="J2" s="17" t="s">
        <v>656</v>
      </c>
      <c r="K2" s="17" t="s">
        <v>657</v>
      </c>
      <c r="L2" s="18" t="s">
        <v>658</v>
      </c>
      <c r="M2" s="18" t="s">
        <v>659</v>
      </c>
      <c r="N2" s="19"/>
    </row>
    <row r="3" spans="1:14" s="32" customFormat="1" ht="23.25" x14ac:dyDescent="0.25">
      <c r="A3" s="21"/>
      <c r="B3" s="22" t="s">
        <v>660</v>
      </c>
      <c r="C3" s="23" t="s">
        <v>661</v>
      </c>
      <c r="D3" s="24" t="s">
        <v>662</v>
      </c>
      <c r="E3" s="25">
        <v>12</v>
      </c>
      <c r="F3" s="57">
        <v>55</v>
      </c>
      <c r="G3" s="58" t="s">
        <v>663</v>
      </c>
      <c r="H3" s="27" t="s">
        <v>664</v>
      </c>
      <c r="I3" s="25" t="s">
        <v>665</v>
      </c>
      <c r="J3" s="28">
        <v>10780</v>
      </c>
      <c r="K3" s="29">
        <f>M3/1.15</f>
        <v>7504.347826086957</v>
      </c>
      <c r="L3" s="29">
        <f>M3-K3</f>
        <v>1125.652173913043</v>
      </c>
      <c r="M3" s="30">
        <v>8630</v>
      </c>
      <c r="N3" s="31"/>
    </row>
    <row r="4" spans="1:14" ht="23.25" x14ac:dyDescent="0.25">
      <c r="A4" s="8"/>
      <c r="B4" s="22" t="s">
        <v>660</v>
      </c>
      <c r="C4" s="23" t="s">
        <v>666</v>
      </c>
      <c r="D4" s="24" t="s">
        <v>662</v>
      </c>
      <c r="E4" s="25">
        <v>12</v>
      </c>
      <c r="F4" s="57">
        <v>85</v>
      </c>
      <c r="G4" s="58" t="s">
        <v>663</v>
      </c>
      <c r="H4" s="27" t="s">
        <v>664</v>
      </c>
      <c r="I4" s="25" t="s">
        <v>665</v>
      </c>
      <c r="J4" s="28">
        <v>13680</v>
      </c>
      <c r="K4" s="29">
        <f t="shared" ref="K4:K11" si="0">M4/1.15</f>
        <v>9521.7391304347839</v>
      </c>
      <c r="L4" s="29">
        <f t="shared" ref="L4:L11" si="1">M4-K4</f>
        <v>1428.2608695652161</v>
      </c>
      <c r="M4" s="30">
        <v>10950</v>
      </c>
      <c r="N4" s="31"/>
    </row>
    <row r="5" spans="1:14" ht="23.25" x14ac:dyDescent="0.25">
      <c r="A5" s="8"/>
      <c r="B5" s="22" t="s">
        <v>660</v>
      </c>
      <c r="C5" s="23" t="s">
        <v>667</v>
      </c>
      <c r="D5" s="24" t="s">
        <v>662</v>
      </c>
      <c r="E5" s="25">
        <v>12</v>
      </c>
      <c r="F5" s="57">
        <v>95</v>
      </c>
      <c r="G5" s="58" t="s">
        <v>663</v>
      </c>
      <c r="H5" s="27" t="s">
        <v>664</v>
      </c>
      <c r="I5" s="25" t="s">
        <v>665</v>
      </c>
      <c r="J5" s="28">
        <v>14000</v>
      </c>
      <c r="K5" s="29">
        <f t="shared" si="0"/>
        <v>9739.1304347826099</v>
      </c>
      <c r="L5" s="29">
        <f t="shared" si="1"/>
        <v>1460.8695652173901</v>
      </c>
      <c r="M5" s="30">
        <v>11200</v>
      </c>
      <c r="N5" s="31"/>
    </row>
    <row r="6" spans="1:14" ht="23.25" x14ac:dyDescent="0.25">
      <c r="A6" s="8"/>
      <c r="B6" s="22" t="s">
        <v>660</v>
      </c>
      <c r="C6" s="23" t="s">
        <v>668</v>
      </c>
      <c r="D6" s="24" t="s">
        <v>662</v>
      </c>
      <c r="E6" s="25">
        <v>12</v>
      </c>
      <c r="F6" s="57">
        <v>80</v>
      </c>
      <c r="G6" s="58" t="s">
        <v>663</v>
      </c>
      <c r="H6" s="27" t="s">
        <v>664</v>
      </c>
      <c r="I6" s="25" t="s">
        <v>665</v>
      </c>
      <c r="J6" s="28">
        <v>18460</v>
      </c>
      <c r="K6" s="29">
        <f t="shared" si="0"/>
        <v>12843.478260869566</v>
      </c>
      <c r="L6" s="29">
        <f t="shared" si="1"/>
        <v>1926.5217391304341</v>
      </c>
      <c r="M6" s="30">
        <v>14770</v>
      </c>
      <c r="N6" s="31"/>
    </row>
    <row r="7" spans="1:14" ht="23.25" x14ac:dyDescent="0.25">
      <c r="A7" s="8"/>
      <c r="B7" s="22" t="s">
        <v>660</v>
      </c>
      <c r="C7" s="23" t="s">
        <v>669</v>
      </c>
      <c r="D7" s="24" t="s">
        <v>662</v>
      </c>
      <c r="E7" s="25">
        <v>12</v>
      </c>
      <c r="F7" s="57">
        <v>44</v>
      </c>
      <c r="G7" s="58" t="s">
        <v>663</v>
      </c>
      <c r="H7" s="27" t="s">
        <v>664</v>
      </c>
      <c r="I7" s="25" t="s">
        <v>665</v>
      </c>
      <c r="J7" s="28">
        <v>13480</v>
      </c>
      <c r="K7" s="29">
        <f t="shared" si="0"/>
        <v>9382.608695652174</v>
      </c>
      <c r="L7" s="29">
        <f t="shared" si="1"/>
        <v>1407.391304347826</v>
      </c>
      <c r="M7" s="30">
        <v>10790</v>
      </c>
      <c r="N7" s="31"/>
    </row>
    <row r="8" spans="1:14" ht="23.25" x14ac:dyDescent="0.25">
      <c r="A8" s="8"/>
      <c r="B8" s="22" t="s">
        <v>660</v>
      </c>
      <c r="C8" s="23" t="s">
        <v>670</v>
      </c>
      <c r="D8" s="24" t="s">
        <v>662</v>
      </c>
      <c r="E8" s="25">
        <v>12</v>
      </c>
      <c r="F8" s="57">
        <v>55</v>
      </c>
      <c r="G8" s="58" t="s">
        <v>663</v>
      </c>
      <c r="H8" s="27" t="s">
        <v>664</v>
      </c>
      <c r="I8" s="25" t="s">
        <v>665</v>
      </c>
      <c r="J8" s="28">
        <v>16080</v>
      </c>
      <c r="K8" s="29">
        <f t="shared" si="0"/>
        <v>11191.304347826088</v>
      </c>
      <c r="L8" s="29">
        <f t="shared" si="1"/>
        <v>1678.6956521739121</v>
      </c>
      <c r="M8" s="30">
        <v>12870</v>
      </c>
      <c r="N8" s="31"/>
    </row>
    <row r="9" spans="1:14" ht="23.25" x14ac:dyDescent="0.25">
      <c r="A9" s="8"/>
      <c r="B9" s="22" t="s">
        <v>660</v>
      </c>
      <c r="C9" s="23" t="s">
        <v>671</v>
      </c>
      <c r="D9" s="24" t="s">
        <v>662</v>
      </c>
      <c r="E9" s="25">
        <v>12</v>
      </c>
      <c r="F9" s="57">
        <v>66</v>
      </c>
      <c r="G9" s="58" t="s">
        <v>663</v>
      </c>
      <c r="H9" s="27" t="s">
        <v>664</v>
      </c>
      <c r="I9" s="25" t="s">
        <v>665</v>
      </c>
      <c r="J9" s="28">
        <v>19050</v>
      </c>
      <c r="K9" s="29">
        <f t="shared" si="0"/>
        <v>13252.17391304348</v>
      </c>
      <c r="L9" s="29">
        <f t="shared" si="1"/>
        <v>1987.8260869565202</v>
      </c>
      <c r="M9" s="30">
        <v>15240</v>
      </c>
      <c r="N9" s="31"/>
    </row>
    <row r="10" spans="1:14" ht="23.25" x14ac:dyDescent="0.25">
      <c r="A10" s="8"/>
      <c r="B10" s="33" t="s">
        <v>660</v>
      </c>
      <c r="C10" s="23" t="s">
        <v>672</v>
      </c>
      <c r="D10" s="34" t="s">
        <v>662</v>
      </c>
      <c r="E10" s="25">
        <v>12</v>
      </c>
      <c r="F10" s="57">
        <v>80</v>
      </c>
      <c r="G10" s="57" t="s">
        <v>663</v>
      </c>
      <c r="H10" s="25" t="s">
        <v>664</v>
      </c>
      <c r="I10" s="25" t="s">
        <v>665</v>
      </c>
      <c r="J10" s="28">
        <v>22280</v>
      </c>
      <c r="K10" s="29">
        <f t="shared" si="0"/>
        <v>15504.347826086958</v>
      </c>
      <c r="L10" s="29">
        <f t="shared" si="1"/>
        <v>2325.6521739130421</v>
      </c>
      <c r="M10" s="30">
        <v>17830</v>
      </c>
      <c r="N10" s="31"/>
    </row>
    <row r="11" spans="1:14" ht="23.25" x14ac:dyDescent="0.25">
      <c r="A11" s="8"/>
      <c r="B11" s="33" t="s">
        <v>660</v>
      </c>
      <c r="C11" s="23" t="s">
        <v>673</v>
      </c>
      <c r="D11" s="34" t="s">
        <v>662</v>
      </c>
      <c r="E11" s="25">
        <v>12</v>
      </c>
      <c r="F11" s="57">
        <v>92</v>
      </c>
      <c r="G11" s="57" t="s">
        <v>663</v>
      </c>
      <c r="H11" s="25" t="s">
        <v>664</v>
      </c>
      <c r="I11" s="25" t="s">
        <v>665</v>
      </c>
      <c r="J11" s="28">
        <v>24980</v>
      </c>
      <c r="K11" s="29">
        <f t="shared" si="0"/>
        <v>17382.608695652176</v>
      </c>
      <c r="L11" s="29">
        <f t="shared" si="1"/>
        <v>2607.3913043478242</v>
      </c>
      <c r="M11" s="30">
        <v>19990</v>
      </c>
      <c r="N11" s="31"/>
    </row>
    <row r="12" spans="1:14" ht="23.25" x14ac:dyDescent="0.25">
      <c r="A12" s="8"/>
      <c r="B12" s="22" t="s">
        <v>674</v>
      </c>
      <c r="C12" s="35" t="s">
        <v>675</v>
      </c>
      <c r="D12" s="24" t="s">
        <v>662</v>
      </c>
      <c r="E12" s="25">
        <v>12</v>
      </c>
      <c r="F12" s="57">
        <v>35</v>
      </c>
      <c r="G12" s="58" t="s">
        <v>663</v>
      </c>
      <c r="H12" s="25" t="s">
        <v>664</v>
      </c>
      <c r="I12" s="25" t="s">
        <v>676</v>
      </c>
      <c r="J12" s="28">
        <v>8720</v>
      </c>
      <c r="K12" s="29">
        <f>M12/1.15</f>
        <v>6069.5652173913049</v>
      </c>
      <c r="L12" s="29">
        <f>M12-K12</f>
        <v>910.43478260869506</v>
      </c>
      <c r="M12" s="30">
        <v>6980</v>
      </c>
      <c r="N12" s="31"/>
    </row>
    <row r="13" spans="1:14" ht="23.25" x14ac:dyDescent="0.25">
      <c r="A13" s="8"/>
      <c r="B13" s="22" t="s">
        <v>674</v>
      </c>
      <c r="C13" s="35" t="s">
        <v>677</v>
      </c>
      <c r="D13" s="24" t="s">
        <v>662</v>
      </c>
      <c r="E13" s="25">
        <v>12</v>
      </c>
      <c r="F13" s="57">
        <v>45</v>
      </c>
      <c r="G13" s="58" t="s">
        <v>663</v>
      </c>
      <c r="H13" s="25" t="s">
        <v>664</v>
      </c>
      <c r="I13" s="25" t="s">
        <v>676</v>
      </c>
      <c r="J13" s="28">
        <v>9510</v>
      </c>
      <c r="K13" s="29">
        <f t="shared" ref="K13:K16" si="2">M13/1.15</f>
        <v>6608.6956521739139</v>
      </c>
      <c r="L13" s="29">
        <f t="shared" ref="L13:L16" si="3">M13-K13</f>
        <v>991.30434782608609</v>
      </c>
      <c r="M13" s="30">
        <v>7600</v>
      </c>
      <c r="N13" s="31"/>
    </row>
    <row r="14" spans="1:14" ht="23.25" x14ac:dyDescent="0.25">
      <c r="A14" s="8"/>
      <c r="B14" s="22" t="s">
        <v>674</v>
      </c>
      <c r="C14" s="35" t="s">
        <v>678</v>
      </c>
      <c r="D14" s="24" t="s">
        <v>662</v>
      </c>
      <c r="E14" s="25">
        <v>12</v>
      </c>
      <c r="F14" s="57">
        <v>60</v>
      </c>
      <c r="G14" s="58" t="s">
        <v>663</v>
      </c>
      <c r="H14" s="25" t="s">
        <v>664</v>
      </c>
      <c r="I14" s="25" t="s">
        <v>676</v>
      </c>
      <c r="J14" s="28">
        <v>12360</v>
      </c>
      <c r="K14" s="29">
        <f t="shared" si="2"/>
        <v>8600</v>
      </c>
      <c r="L14" s="29">
        <f t="shared" si="3"/>
        <v>1290</v>
      </c>
      <c r="M14" s="30">
        <v>9890</v>
      </c>
      <c r="N14" s="11"/>
    </row>
    <row r="15" spans="1:14" ht="23.25" x14ac:dyDescent="0.25">
      <c r="A15" s="8"/>
      <c r="B15" s="33" t="s">
        <v>674</v>
      </c>
      <c r="C15" s="35" t="s">
        <v>679</v>
      </c>
      <c r="D15" s="34" t="s">
        <v>662</v>
      </c>
      <c r="E15" s="25">
        <v>12</v>
      </c>
      <c r="F15" s="57">
        <v>65</v>
      </c>
      <c r="G15" s="57" t="s">
        <v>663</v>
      </c>
      <c r="H15" s="25" t="s">
        <v>664</v>
      </c>
      <c r="I15" s="25" t="s">
        <v>676</v>
      </c>
      <c r="J15" s="28">
        <v>13375</v>
      </c>
      <c r="K15" s="29">
        <f t="shared" si="2"/>
        <v>9304.3478260869579</v>
      </c>
      <c r="L15" s="29">
        <f t="shared" si="3"/>
        <v>1395.6521739130421</v>
      </c>
      <c r="M15" s="30">
        <v>10700</v>
      </c>
      <c r="N15" s="31"/>
    </row>
    <row r="16" spans="1:14" ht="23.25" x14ac:dyDescent="0.25">
      <c r="A16" s="8"/>
      <c r="B16" s="33" t="s">
        <v>674</v>
      </c>
      <c r="C16" s="35" t="s">
        <v>680</v>
      </c>
      <c r="D16" s="34" t="s">
        <v>662</v>
      </c>
      <c r="E16" s="25">
        <v>12</v>
      </c>
      <c r="F16" s="57">
        <v>80</v>
      </c>
      <c r="G16" s="57" t="s">
        <v>663</v>
      </c>
      <c r="H16" s="25" t="s">
        <v>664</v>
      </c>
      <c r="I16" s="25" t="s">
        <v>676</v>
      </c>
      <c r="J16" s="28">
        <v>15200</v>
      </c>
      <c r="K16" s="29">
        <f t="shared" si="2"/>
        <v>10573.913043478262</v>
      </c>
      <c r="L16" s="29">
        <f t="shared" si="3"/>
        <v>1586.0869565217381</v>
      </c>
      <c r="M16" s="36">
        <v>12160</v>
      </c>
      <c r="N16" s="31"/>
    </row>
    <row r="17" spans="1:14" ht="23.25" x14ac:dyDescent="0.25">
      <c r="A17" s="8"/>
      <c r="B17" s="22" t="s">
        <v>681</v>
      </c>
      <c r="C17" s="35" t="s">
        <v>682</v>
      </c>
      <c r="D17" s="24" t="s">
        <v>662</v>
      </c>
      <c r="E17" s="25">
        <v>12</v>
      </c>
      <c r="F17" s="57">
        <v>35</v>
      </c>
      <c r="G17" s="57"/>
      <c r="H17" s="25" t="s">
        <v>683</v>
      </c>
      <c r="I17" s="25" t="s">
        <v>684</v>
      </c>
      <c r="J17" s="28">
        <v>5350</v>
      </c>
      <c r="K17" s="29">
        <f>M17/1.15</f>
        <v>3721.739130434783</v>
      </c>
      <c r="L17" s="29">
        <f>M17-K17</f>
        <v>558.26086956521704</v>
      </c>
      <c r="M17" s="30">
        <v>4280</v>
      </c>
      <c r="N17" s="31"/>
    </row>
    <row r="18" spans="1:14" ht="23.25" x14ac:dyDescent="0.25">
      <c r="A18" s="8"/>
      <c r="B18" s="22" t="s">
        <v>681</v>
      </c>
      <c r="C18" s="35" t="s">
        <v>685</v>
      </c>
      <c r="D18" s="24" t="s">
        <v>662</v>
      </c>
      <c r="E18" s="25">
        <v>12</v>
      </c>
      <c r="F18" s="57">
        <v>35</v>
      </c>
      <c r="G18" s="57"/>
      <c r="H18" s="25" t="s">
        <v>683</v>
      </c>
      <c r="I18" s="25" t="s">
        <v>684</v>
      </c>
      <c r="J18" s="28">
        <v>5265</v>
      </c>
      <c r="K18" s="29">
        <f t="shared" ref="K18:K23" si="4">M18/1.15</f>
        <v>3660.8695652173915</v>
      </c>
      <c r="L18" s="29">
        <f t="shared" ref="L18:L23" si="5">M18-K18</f>
        <v>549.13043478260852</v>
      </c>
      <c r="M18" s="30">
        <v>4210</v>
      </c>
      <c r="N18" s="31"/>
    </row>
    <row r="19" spans="1:14" ht="23.25" x14ac:dyDescent="0.25">
      <c r="A19" s="8"/>
      <c r="B19" s="22" t="s">
        <v>681</v>
      </c>
      <c r="C19" s="35" t="s">
        <v>686</v>
      </c>
      <c r="D19" s="24" t="s">
        <v>662</v>
      </c>
      <c r="E19" s="25">
        <v>12</v>
      </c>
      <c r="F19" s="57">
        <v>45</v>
      </c>
      <c r="G19" s="57"/>
      <c r="H19" s="25" t="s">
        <v>683</v>
      </c>
      <c r="I19" s="25" t="s">
        <v>684</v>
      </c>
      <c r="J19" s="28">
        <v>7610</v>
      </c>
      <c r="K19" s="29">
        <f t="shared" si="4"/>
        <v>5295.652173913044</v>
      </c>
      <c r="L19" s="29">
        <f t="shared" si="5"/>
        <v>794.34782608695605</v>
      </c>
      <c r="M19" s="30">
        <v>6090</v>
      </c>
      <c r="N19" s="11"/>
    </row>
    <row r="20" spans="1:14" ht="23.25" x14ac:dyDescent="0.25">
      <c r="A20" s="8"/>
      <c r="B20" s="22" t="s">
        <v>681</v>
      </c>
      <c r="C20" s="35" t="s">
        <v>687</v>
      </c>
      <c r="D20" s="24" t="s">
        <v>662</v>
      </c>
      <c r="E20" s="25">
        <v>12</v>
      </c>
      <c r="F20" s="57">
        <v>60</v>
      </c>
      <c r="G20" s="57"/>
      <c r="H20" s="25" t="s">
        <v>683</v>
      </c>
      <c r="I20" s="25" t="s">
        <v>684</v>
      </c>
      <c r="J20" s="28">
        <v>9750</v>
      </c>
      <c r="K20" s="29">
        <f t="shared" si="4"/>
        <v>6782.608695652174</v>
      </c>
      <c r="L20" s="29">
        <f t="shared" si="5"/>
        <v>1017.391304347826</v>
      </c>
      <c r="M20" s="30">
        <v>7800</v>
      </c>
      <c r="N20" s="11"/>
    </row>
    <row r="21" spans="1:14" ht="23.25" x14ac:dyDescent="0.25">
      <c r="A21" s="8"/>
      <c r="B21" s="22" t="s">
        <v>681</v>
      </c>
      <c r="C21" s="35" t="s">
        <v>688</v>
      </c>
      <c r="D21" s="24" t="s">
        <v>662</v>
      </c>
      <c r="E21" s="25">
        <v>12</v>
      </c>
      <c r="F21" s="57">
        <v>65</v>
      </c>
      <c r="G21" s="57"/>
      <c r="H21" s="25" t="s">
        <v>683</v>
      </c>
      <c r="I21" s="25" t="s">
        <v>684</v>
      </c>
      <c r="J21" s="28">
        <v>10430</v>
      </c>
      <c r="K21" s="29">
        <f t="shared" si="4"/>
        <v>7252.1739130434789</v>
      </c>
      <c r="L21" s="29">
        <f t="shared" si="5"/>
        <v>1087.8260869565211</v>
      </c>
      <c r="M21" s="30">
        <v>8340</v>
      </c>
      <c r="N21" s="11"/>
    </row>
    <row r="22" spans="1:14" s="32" customFormat="1" ht="23.25" x14ac:dyDescent="0.25">
      <c r="A22" s="21"/>
      <c r="B22" s="22" t="s">
        <v>681</v>
      </c>
      <c r="C22" s="35" t="s">
        <v>689</v>
      </c>
      <c r="D22" s="24" t="s">
        <v>662</v>
      </c>
      <c r="E22" s="25">
        <v>12</v>
      </c>
      <c r="F22" s="57">
        <v>70</v>
      </c>
      <c r="G22" s="57"/>
      <c r="H22" s="25" t="s">
        <v>683</v>
      </c>
      <c r="I22" s="25" t="s">
        <v>684</v>
      </c>
      <c r="J22" s="28">
        <v>12130</v>
      </c>
      <c r="K22" s="29">
        <f t="shared" si="4"/>
        <v>8434.782608695652</v>
      </c>
      <c r="L22" s="29">
        <f t="shared" si="5"/>
        <v>1265.217391304348</v>
      </c>
      <c r="M22" s="30">
        <v>9700</v>
      </c>
      <c r="N22" s="19"/>
    </row>
    <row r="23" spans="1:14" s="32" customFormat="1" ht="23.25" x14ac:dyDescent="0.25">
      <c r="A23" s="21"/>
      <c r="B23" s="22" t="s">
        <v>681</v>
      </c>
      <c r="C23" s="35" t="s">
        <v>690</v>
      </c>
      <c r="D23" s="24" t="s">
        <v>662</v>
      </c>
      <c r="E23" s="25">
        <v>12</v>
      </c>
      <c r="F23" s="57">
        <v>80</v>
      </c>
      <c r="G23" s="57"/>
      <c r="H23" s="25" t="s">
        <v>683</v>
      </c>
      <c r="I23" s="25" t="s">
        <v>684</v>
      </c>
      <c r="J23" s="28">
        <v>12310</v>
      </c>
      <c r="K23" s="29">
        <f t="shared" si="4"/>
        <v>8565.217391304348</v>
      </c>
      <c r="L23" s="29">
        <f t="shared" si="5"/>
        <v>1284.782608695652</v>
      </c>
      <c r="M23" s="30">
        <v>9850</v>
      </c>
      <c r="N23" s="19"/>
    </row>
    <row r="24" spans="1:14" ht="23.25" x14ac:dyDescent="0.3">
      <c r="A24" s="8"/>
      <c r="B24" s="22" t="s">
        <v>691</v>
      </c>
      <c r="C24" s="35" t="s">
        <v>692</v>
      </c>
      <c r="D24" s="24" t="s">
        <v>693</v>
      </c>
      <c r="E24" s="25">
        <v>12</v>
      </c>
      <c r="F24" s="57">
        <v>90</v>
      </c>
      <c r="G24" s="57">
        <v>15</v>
      </c>
      <c r="H24" s="25" t="s">
        <v>683</v>
      </c>
      <c r="I24" s="25" t="s">
        <v>684</v>
      </c>
      <c r="J24" s="28">
        <v>12850</v>
      </c>
      <c r="K24" s="29">
        <f>M24/1.15</f>
        <v>8939.1304347826099</v>
      </c>
      <c r="L24" s="29">
        <f>M24-K24</f>
        <v>1340.8695652173901</v>
      </c>
      <c r="M24" s="30">
        <v>10280</v>
      </c>
      <c r="N24" s="37"/>
    </row>
    <row r="25" spans="1:14" ht="23.25" x14ac:dyDescent="0.3">
      <c r="A25" s="8"/>
      <c r="B25" s="22" t="s">
        <v>691</v>
      </c>
      <c r="C25" s="35" t="s">
        <v>694</v>
      </c>
      <c r="D25" s="24" t="s">
        <v>693</v>
      </c>
      <c r="E25" s="25">
        <v>12</v>
      </c>
      <c r="F25" s="57">
        <v>100</v>
      </c>
      <c r="G25" s="57">
        <v>17</v>
      </c>
      <c r="H25" s="25" t="s">
        <v>683</v>
      </c>
      <c r="I25" s="25" t="s">
        <v>684</v>
      </c>
      <c r="J25" s="28">
        <v>13600</v>
      </c>
      <c r="K25" s="29">
        <f t="shared" ref="K25:K26" si="6">M25/1.15</f>
        <v>9460.8695652173919</v>
      </c>
      <c r="L25" s="29">
        <f t="shared" ref="L25:L26" si="7">M25-K25</f>
        <v>1419.1304347826081</v>
      </c>
      <c r="M25" s="30">
        <v>10880</v>
      </c>
      <c r="N25" s="37"/>
    </row>
    <row r="26" spans="1:14" ht="23.25" x14ac:dyDescent="0.3">
      <c r="A26" s="8"/>
      <c r="B26" s="33" t="s">
        <v>691</v>
      </c>
      <c r="C26" s="35" t="s">
        <v>695</v>
      </c>
      <c r="D26" s="24" t="s">
        <v>693</v>
      </c>
      <c r="E26" s="25">
        <v>12</v>
      </c>
      <c r="F26" s="57">
        <v>120</v>
      </c>
      <c r="G26" s="57">
        <v>21</v>
      </c>
      <c r="H26" s="25" t="s">
        <v>683</v>
      </c>
      <c r="I26" s="25" t="s">
        <v>684</v>
      </c>
      <c r="J26" s="28">
        <v>16910</v>
      </c>
      <c r="K26" s="29">
        <f t="shared" si="6"/>
        <v>11765.217391304348</v>
      </c>
      <c r="L26" s="29">
        <f t="shared" si="7"/>
        <v>1764.782608695652</v>
      </c>
      <c r="M26" s="30">
        <v>13530</v>
      </c>
      <c r="N26" s="37"/>
    </row>
    <row r="27" spans="1:14" ht="23.25" x14ac:dyDescent="0.3">
      <c r="A27" s="8"/>
      <c r="B27" s="33" t="s">
        <v>691</v>
      </c>
      <c r="C27" s="35" t="s">
        <v>696</v>
      </c>
      <c r="D27" s="24" t="s">
        <v>693</v>
      </c>
      <c r="E27" s="25">
        <v>12</v>
      </c>
      <c r="F27" s="57">
        <v>160</v>
      </c>
      <c r="G27" s="57">
        <v>27</v>
      </c>
      <c r="H27" s="25" t="s">
        <v>683</v>
      </c>
      <c r="I27" s="25" t="s">
        <v>684</v>
      </c>
      <c r="J27" s="28">
        <v>21060</v>
      </c>
      <c r="K27" s="29">
        <f>M27/1.15</f>
        <v>14652.17391304348</v>
      </c>
      <c r="L27" s="29">
        <f>M27-K27</f>
        <v>2197.8260869565202</v>
      </c>
      <c r="M27" s="30">
        <v>16850</v>
      </c>
      <c r="N27" s="37"/>
    </row>
    <row r="28" spans="1:14" ht="23.25" x14ac:dyDescent="0.3">
      <c r="A28" s="8"/>
      <c r="B28" s="33" t="s">
        <v>691</v>
      </c>
      <c r="C28" s="35" t="s">
        <v>697</v>
      </c>
      <c r="D28" s="24" t="s">
        <v>693</v>
      </c>
      <c r="E28" s="25">
        <v>12</v>
      </c>
      <c r="F28" s="57">
        <v>200</v>
      </c>
      <c r="G28" s="57">
        <v>29</v>
      </c>
      <c r="H28" s="25" t="s">
        <v>683</v>
      </c>
      <c r="I28" s="25" t="s">
        <v>684</v>
      </c>
      <c r="J28" s="28">
        <v>23160</v>
      </c>
      <c r="K28" s="29">
        <f t="shared" ref="K28" si="8">M28/1.15</f>
        <v>16113.04347826087</v>
      </c>
      <c r="L28" s="29">
        <f t="shared" ref="L28" si="9">M28-K28</f>
        <v>2416.95652173913</v>
      </c>
      <c r="M28" s="30">
        <v>18530</v>
      </c>
      <c r="N28" s="37"/>
    </row>
    <row r="29" spans="1:14" ht="23.25" x14ac:dyDescent="0.3">
      <c r="A29" s="8"/>
      <c r="B29" s="38" t="s">
        <v>698</v>
      </c>
      <c r="C29" s="39" t="s">
        <v>699</v>
      </c>
      <c r="D29" s="40" t="s">
        <v>693</v>
      </c>
      <c r="E29" s="26">
        <v>12</v>
      </c>
      <c r="F29" s="59">
        <v>50</v>
      </c>
      <c r="G29" s="57" t="s">
        <v>663</v>
      </c>
      <c r="H29" s="26" t="s">
        <v>683</v>
      </c>
      <c r="I29" s="26" t="s">
        <v>676</v>
      </c>
      <c r="J29" s="29">
        <v>9290</v>
      </c>
      <c r="K29" s="29">
        <f>M29/1.15</f>
        <v>6865.217391304348</v>
      </c>
      <c r="L29" s="29">
        <f>M29-K29</f>
        <v>1029.782608695652</v>
      </c>
      <c r="M29" s="30">
        <v>7895</v>
      </c>
      <c r="N29" s="41"/>
    </row>
    <row r="30" spans="1:14" ht="23.25" x14ac:dyDescent="0.3">
      <c r="A30" s="8"/>
      <c r="B30" s="38" t="s">
        <v>698</v>
      </c>
      <c r="C30" s="39" t="s">
        <v>700</v>
      </c>
      <c r="D30" s="40" t="s">
        <v>693</v>
      </c>
      <c r="E30" s="26">
        <v>12</v>
      </c>
      <c r="F30" s="59">
        <v>70</v>
      </c>
      <c r="G30" s="57" t="s">
        <v>663</v>
      </c>
      <c r="H30" s="26" t="s">
        <v>683</v>
      </c>
      <c r="I30" s="26" t="s">
        <v>676</v>
      </c>
      <c r="J30" s="29">
        <v>13290</v>
      </c>
      <c r="K30" s="29">
        <f t="shared" ref="K30:K38" si="10">M30/1.15</f>
        <v>9826.0869565217399</v>
      </c>
      <c r="L30" s="29">
        <f t="shared" ref="L30:L38" si="11">M30-K30</f>
        <v>1473.9130434782601</v>
      </c>
      <c r="M30" s="30">
        <v>11300</v>
      </c>
      <c r="N30" s="41"/>
    </row>
    <row r="31" spans="1:14" ht="23.25" x14ac:dyDescent="0.3">
      <c r="A31" s="8"/>
      <c r="B31" s="38" t="s">
        <v>698</v>
      </c>
      <c r="C31" s="39" t="s">
        <v>701</v>
      </c>
      <c r="D31" s="40" t="s">
        <v>693</v>
      </c>
      <c r="E31" s="26">
        <v>12</v>
      </c>
      <c r="F31" s="59">
        <v>100</v>
      </c>
      <c r="G31" s="57" t="s">
        <v>663</v>
      </c>
      <c r="H31" s="26" t="s">
        <v>683</v>
      </c>
      <c r="I31" s="26" t="s">
        <v>676</v>
      </c>
      <c r="J31" s="29">
        <v>15930</v>
      </c>
      <c r="K31" s="29">
        <f t="shared" si="10"/>
        <v>11782.608695652174</v>
      </c>
      <c r="L31" s="29">
        <f t="shared" si="11"/>
        <v>1767.391304347826</v>
      </c>
      <c r="M31" s="30">
        <v>13550</v>
      </c>
      <c r="N31" s="41"/>
    </row>
    <row r="32" spans="1:14" ht="23.25" x14ac:dyDescent="0.3">
      <c r="A32" s="8"/>
      <c r="B32" s="38" t="s">
        <v>698</v>
      </c>
      <c r="C32" s="39" t="s">
        <v>702</v>
      </c>
      <c r="D32" s="40" t="s">
        <v>693</v>
      </c>
      <c r="E32" s="26">
        <v>12</v>
      </c>
      <c r="F32" s="59">
        <v>120</v>
      </c>
      <c r="G32" s="57" t="s">
        <v>663</v>
      </c>
      <c r="H32" s="26" t="s">
        <v>683</v>
      </c>
      <c r="I32" s="26" t="s">
        <v>676</v>
      </c>
      <c r="J32" s="29">
        <v>19610</v>
      </c>
      <c r="K32" s="29">
        <f t="shared" si="10"/>
        <v>14495.652173913044</v>
      </c>
      <c r="L32" s="29">
        <f t="shared" si="11"/>
        <v>2174.347826086956</v>
      </c>
      <c r="M32" s="30">
        <v>16670</v>
      </c>
      <c r="N32" s="41"/>
    </row>
    <row r="33" spans="1:14" ht="23.25" x14ac:dyDescent="0.3">
      <c r="A33" s="8"/>
      <c r="B33" s="38" t="s">
        <v>698</v>
      </c>
      <c r="C33" s="39" t="s">
        <v>703</v>
      </c>
      <c r="D33" s="40" t="s">
        <v>693</v>
      </c>
      <c r="E33" s="26">
        <v>12</v>
      </c>
      <c r="F33" s="59">
        <v>135</v>
      </c>
      <c r="G33" s="57" t="s">
        <v>663</v>
      </c>
      <c r="H33" s="26" t="s">
        <v>683</v>
      </c>
      <c r="I33" s="26" t="s">
        <v>676</v>
      </c>
      <c r="J33" s="29">
        <v>20690</v>
      </c>
      <c r="K33" s="29">
        <f t="shared" si="10"/>
        <v>15295.652173913044</v>
      </c>
      <c r="L33" s="29">
        <f t="shared" si="11"/>
        <v>2294.347826086956</v>
      </c>
      <c r="M33" s="30">
        <v>17590</v>
      </c>
      <c r="N33" s="41"/>
    </row>
    <row r="34" spans="1:14" ht="23.25" x14ac:dyDescent="0.3">
      <c r="A34" s="8"/>
      <c r="B34" s="38" t="s">
        <v>698</v>
      </c>
      <c r="C34" s="39" t="s">
        <v>704</v>
      </c>
      <c r="D34" s="40" t="s">
        <v>693</v>
      </c>
      <c r="E34" s="26">
        <v>12</v>
      </c>
      <c r="F34" s="59">
        <v>150</v>
      </c>
      <c r="G34" s="57" t="s">
        <v>663</v>
      </c>
      <c r="H34" s="26" t="s">
        <v>683</v>
      </c>
      <c r="I34" s="26" t="s">
        <v>676</v>
      </c>
      <c r="J34" s="29">
        <v>23780</v>
      </c>
      <c r="K34" s="29">
        <f t="shared" si="10"/>
        <v>17578.26086956522</v>
      </c>
      <c r="L34" s="29">
        <f t="shared" si="11"/>
        <v>2636.7391304347802</v>
      </c>
      <c r="M34" s="30">
        <v>20215</v>
      </c>
      <c r="N34" s="41"/>
    </row>
    <row r="35" spans="1:14" ht="23.25" x14ac:dyDescent="0.3">
      <c r="A35" s="8"/>
      <c r="B35" s="38" t="s">
        <v>698</v>
      </c>
      <c r="C35" s="39" t="s">
        <v>705</v>
      </c>
      <c r="D35" s="40" t="s">
        <v>693</v>
      </c>
      <c r="E35" s="26">
        <v>12</v>
      </c>
      <c r="F35" s="59">
        <v>165</v>
      </c>
      <c r="G35" s="57" t="s">
        <v>663</v>
      </c>
      <c r="H35" s="26" t="s">
        <v>683</v>
      </c>
      <c r="I35" s="26" t="s">
        <v>676</v>
      </c>
      <c r="J35" s="29">
        <v>24700</v>
      </c>
      <c r="K35" s="29">
        <f t="shared" si="10"/>
        <v>18260.869565217392</v>
      </c>
      <c r="L35" s="29">
        <f t="shared" si="11"/>
        <v>2739.1304347826081</v>
      </c>
      <c r="M35" s="30">
        <v>21000</v>
      </c>
      <c r="N35" s="41"/>
    </row>
    <row r="36" spans="1:14" ht="23.25" x14ac:dyDescent="0.3">
      <c r="A36" s="8"/>
      <c r="B36" s="38" t="s">
        <v>698</v>
      </c>
      <c r="C36" s="39" t="s">
        <v>706</v>
      </c>
      <c r="D36" s="40" t="s">
        <v>693</v>
      </c>
      <c r="E36" s="26">
        <v>12</v>
      </c>
      <c r="F36" s="59">
        <v>200</v>
      </c>
      <c r="G36" s="57" t="s">
        <v>663</v>
      </c>
      <c r="H36" s="26" t="s">
        <v>683</v>
      </c>
      <c r="I36" s="26" t="s">
        <v>676</v>
      </c>
      <c r="J36" s="29">
        <v>28240</v>
      </c>
      <c r="K36" s="29">
        <f t="shared" si="10"/>
        <v>20869.565217391308</v>
      </c>
      <c r="L36" s="29">
        <f t="shared" si="11"/>
        <v>3130.4347826086923</v>
      </c>
      <c r="M36" s="30">
        <v>24000</v>
      </c>
      <c r="N36" s="41"/>
    </row>
    <row r="37" spans="1:14" s="32" customFormat="1" ht="26.25" x14ac:dyDescent="0.4">
      <c r="A37" s="21"/>
      <c r="B37" s="42" t="s">
        <v>707</v>
      </c>
      <c r="C37" s="39" t="s">
        <v>708</v>
      </c>
      <c r="D37" s="43" t="s">
        <v>693</v>
      </c>
      <c r="E37" s="26">
        <v>12</v>
      </c>
      <c r="F37" s="57">
        <v>150</v>
      </c>
      <c r="G37" s="57" t="s">
        <v>663</v>
      </c>
      <c r="H37" s="26" t="s">
        <v>683</v>
      </c>
      <c r="I37" s="26" t="s">
        <v>709</v>
      </c>
      <c r="J37" s="29">
        <v>30215</v>
      </c>
      <c r="K37" s="29">
        <f t="shared" si="10"/>
        <v>21021.739130434784</v>
      </c>
      <c r="L37" s="29">
        <f t="shared" si="11"/>
        <v>3153.2608695652161</v>
      </c>
      <c r="M37" s="30">
        <v>24175</v>
      </c>
      <c r="N37" s="44"/>
    </row>
    <row r="38" spans="1:14" s="45" customFormat="1" ht="26.25" x14ac:dyDescent="0.4">
      <c r="A38" s="8"/>
      <c r="B38" s="42" t="s">
        <v>707</v>
      </c>
      <c r="C38" s="39" t="s">
        <v>710</v>
      </c>
      <c r="D38" s="43" t="s">
        <v>693</v>
      </c>
      <c r="E38" s="26">
        <v>12</v>
      </c>
      <c r="F38" s="57">
        <v>200</v>
      </c>
      <c r="G38" s="57" t="s">
        <v>663</v>
      </c>
      <c r="H38" s="26" t="s">
        <v>683</v>
      </c>
      <c r="I38" s="26" t="s">
        <v>709</v>
      </c>
      <c r="J38" s="29">
        <v>35145</v>
      </c>
      <c r="K38" s="29">
        <f t="shared" si="10"/>
        <v>24452.17391304348</v>
      </c>
      <c r="L38" s="29">
        <f t="shared" si="11"/>
        <v>3667.8260869565202</v>
      </c>
      <c r="M38" s="30">
        <v>28120</v>
      </c>
      <c r="N38" s="44"/>
    </row>
    <row r="39" spans="1:14" ht="23.25" x14ac:dyDescent="0.25">
      <c r="B39" s="22" t="s">
        <v>711</v>
      </c>
      <c r="C39" s="35" t="s">
        <v>712</v>
      </c>
      <c r="D39" s="24" t="s">
        <v>662</v>
      </c>
      <c r="E39" s="25">
        <v>12</v>
      </c>
      <c r="F39" s="57">
        <v>35</v>
      </c>
      <c r="G39" s="58" t="s">
        <v>663</v>
      </c>
      <c r="H39" s="27" t="s">
        <v>664</v>
      </c>
      <c r="I39" s="25" t="s">
        <v>676</v>
      </c>
      <c r="J39" s="28">
        <v>8800</v>
      </c>
      <c r="K39" s="29">
        <f>M39/1.15</f>
        <v>6121.739130434783</v>
      </c>
      <c r="L39" s="29">
        <f>M39-K39</f>
        <v>918.26086956521704</v>
      </c>
      <c r="M39" s="30">
        <v>7040</v>
      </c>
    </row>
    <row r="40" spans="1:14" ht="23.25" x14ac:dyDescent="0.25">
      <c r="B40" s="22" t="s">
        <v>711</v>
      </c>
      <c r="C40" s="35" t="s">
        <v>713</v>
      </c>
      <c r="D40" s="24" t="s">
        <v>662</v>
      </c>
      <c r="E40" s="25">
        <v>12</v>
      </c>
      <c r="F40" s="57">
        <v>45</v>
      </c>
      <c r="G40" s="58" t="s">
        <v>663</v>
      </c>
      <c r="H40" s="27" t="s">
        <v>664</v>
      </c>
      <c r="I40" s="25" t="s">
        <v>676</v>
      </c>
      <c r="J40" s="28">
        <v>9985</v>
      </c>
      <c r="K40" s="29">
        <f t="shared" ref="K40:K50" si="12">M40/1.15</f>
        <v>6956.521739130435</v>
      </c>
      <c r="L40" s="29">
        <f t="shared" ref="L40:L50" si="13">M40-K40</f>
        <v>1043.478260869565</v>
      </c>
      <c r="M40" s="30">
        <v>8000</v>
      </c>
    </row>
    <row r="41" spans="1:14" ht="23.25" x14ac:dyDescent="0.25">
      <c r="B41" s="22" t="s">
        <v>711</v>
      </c>
      <c r="C41" s="35" t="s">
        <v>714</v>
      </c>
      <c r="D41" s="24" t="s">
        <v>662</v>
      </c>
      <c r="E41" s="25">
        <v>12</v>
      </c>
      <c r="F41" s="57">
        <v>60</v>
      </c>
      <c r="G41" s="58" t="s">
        <v>663</v>
      </c>
      <c r="H41" s="27" t="s">
        <v>664</v>
      </c>
      <c r="I41" s="25" t="s">
        <v>676</v>
      </c>
      <c r="J41" s="28">
        <v>12870</v>
      </c>
      <c r="K41" s="29">
        <f t="shared" si="12"/>
        <v>8956.5217391304359</v>
      </c>
      <c r="L41" s="29">
        <f t="shared" si="13"/>
        <v>1343.4782608695641</v>
      </c>
      <c r="M41" s="30">
        <v>10300</v>
      </c>
    </row>
    <row r="42" spans="1:14" ht="23.25" x14ac:dyDescent="0.25">
      <c r="B42" s="22" t="s">
        <v>711</v>
      </c>
      <c r="C42" s="35" t="s">
        <v>715</v>
      </c>
      <c r="D42" s="24" t="s">
        <v>662</v>
      </c>
      <c r="E42" s="25">
        <v>12</v>
      </c>
      <c r="F42" s="57">
        <v>65</v>
      </c>
      <c r="G42" s="58" t="s">
        <v>663</v>
      </c>
      <c r="H42" s="27" t="s">
        <v>664</v>
      </c>
      <c r="I42" s="25" t="s">
        <v>676</v>
      </c>
      <c r="J42" s="28">
        <v>14120</v>
      </c>
      <c r="K42" s="29">
        <f t="shared" si="12"/>
        <v>9826.0869565217399</v>
      </c>
      <c r="L42" s="29">
        <f t="shared" si="13"/>
        <v>1473.9130434782601</v>
      </c>
      <c r="M42" s="30">
        <v>11300</v>
      </c>
    </row>
    <row r="43" spans="1:14" ht="23.25" x14ac:dyDescent="0.25">
      <c r="B43" s="22" t="s">
        <v>711</v>
      </c>
      <c r="C43" s="35" t="s">
        <v>716</v>
      </c>
      <c r="D43" s="24" t="s">
        <v>662</v>
      </c>
      <c r="E43" s="25">
        <v>12</v>
      </c>
      <c r="F43" s="57">
        <v>75</v>
      </c>
      <c r="G43" s="58" t="s">
        <v>663</v>
      </c>
      <c r="H43" s="27" t="s">
        <v>664</v>
      </c>
      <c r="I43" s="25" t="s">
        <v>676</v>
      </c>
      <c r="J43" s="28">
        <v>15070</v>
      </c>
      <c r="K43" s="29">
        <f t="shared" si="12"/>
        <v>10521.739130434784</v>
      </c>
      <c r="L43" s="29">
        <f t="shared" si="13"/>
        <v>1578.2608695652161</v>
      </c>
      <c r="M43" s="30">
        <v>12100</v>
      </c>
    </row>
    <row r="44" spans="1:14" ht="23.25" x14ac:dyDescent="0.25">
      <c r="B44" s="22" t="s">
        <v>711</v>
      </c>
      <c r="C44" s="35" t="s">
        <v>717</v>
      </c>
      <c r="D44" s="24" t="s">
        <v>662</v>
      </c>
      <c r="E44" s="25">
        <v>12</v>
      </c>
      <c r="F44" s="57">
        <v>80</v>
      </c>
      <c r="G44" s="58" t="s">
        <v>663</v>
      </c>
      <c r="H44" s="27" t="s">
        <v>664</v>
      </c>
      <c r="I44" s="25" t="s">
        <v>676</v>
      </c>
      <c r="J44" s="28">
        <v>15745</v>
      </c>
      <c r="K44" s="29">
        <f t="shared" si="12"/>
        <v>10956.521739130436</v>
      </c>
      <c r="L44" s="29">
        <f t="shared" si="13"/>
        <v>1643.4782608695641</v>
      </c>
      <c r="M44" s="30">
        <v>12600</v>
      </c>
    </row>
    <row r="45" spans="1:14" ht="23.25" x14ac:dyDescent="0.25">
      <c r="B45" s="22" t="s">
        <v>711</v>
      </c>
      <c r="C45" s="23" t="s">
        <v>718</v>
      </c>
      <c r="D45" s="24" t="s">
        <v>662</v>
      </c>
      <c r="E45" s="25">
        <v>12</v>
      </c>
      <c r="F45" s="57">
        <v>44</v>
      </c>
      <c r="G45" s="58" t="s">
        <v>663</v>
      </c>
      <c r="H45" s="27" t="s">
        <v>664</v>
      </c>
      <c r="I45" s="25" t="s">
        <v>676</v>
      </c>
      <c r="J45" s="28">
        <v>12750</v>
      </c>
      <c r="K45" s="29">
        <f t="shared" si="12"/>
        <v>8869.5652173913059</v>
      </c>
      <c r="L45" s="29">
        <f t="shared" si="13"/>
        <v>1330.4347826086941</v>
      </c>
      <c r="M45" s="30">
        <v>10200</v>
      </c>
    </row>
    <row r="46" spans="1:14" ht="23.25" x14ac:dyDescent="0.25">
      <c r="B46" s="22" t="s">
        <v>711</v>
      </c>
      <c r="C46" s="23" t="s">
        <v>719</v>
      </c>
      <c r="D46" s="24" t="s">
        <v>662</v>
      </c>
      <c r="E46" s="25">
        <v>12</v>
      </c>
      <c r="F46" s="57">
        <v>55</v>
      </c>
      <c r="G46" s="58" t="s">
        <v>663</v>
      </c>
      <c r="H46" s="27" t="s">
        <v>664</v>
      </c>
      <c r="I46" s="25" t="s">
        <v>676</v>
      </c>
      <c r="J46" s="28">
        <v>15200</v>
      </c>
      <c r="K46" s="29">
        <f t="shared" si="12"/>
        <v>10573.913043478262</v>
      </c>
      <c r="L46" s="29">
        <f t="shared" si="13"/>
        <v>1586.0869565217381</v>
      </c>
      <c r="M46" s="30">
        <v>12160</v>
      </c>
    </row>
    <row r="47" spans="1:14" ht="23.25" x14ac:dyDescent="0.25">
      <c r="B47" s="22" t="s">
        <v>711</v>
      </c>
      <c r="C47" s="23" t="s">
        <v>720</v>
      </c>
      <c r="D47" s="24" t="s">
        <v>662</v>
      </c>
      <c r="E47" s="25">
        <v>12</v>
      </c>
      <c r="F47" s="57">
        <v>66</v>
      </c>
      <c r="G47" s="58" t="s">
        <v>663</v>
      </c>
      <c r="H47" s="27" t="s">
        <v>664</v>
      </c>
      <c r="I47" s="25" t="s">
        <v>676</v>
      </c>
      <c r="J47" s="28">
        <v>17710</v>
      </c>
      <c r="K47" s="29">
        <f t="shared" si="12"/>
        <v>12321.739130434784</v>
      </c>
      <c r="L47" s="29">
        <f t="shared" si="13"/>
        <v>1848.2608695652161</v>
      </c>
      <c r="M47" s="30">
        <v>14170</v>
      </c>
    </row>
    <row r="48" spans="1:14" ht="23.25" x14ac:dyDescent="0.25">
      <c r="B48" s="22" t="s">
        <v>711</v>
      </c>
      <c r="C48" s="23" t="s">
        <v>721</v>
      </c>
      <c r="D48" s="24" t="s">
        <v>662</v>
      </c>
      <c r="E48" s="25">
        <v>12</v>
      </c>
      <c r="F48" s="57">
        <v>80</v>
      </c>
      <c r="G48" s="58" t="s">
        <v>663</v>
      </c>
      <c r="H48" s="27" t="s">
        <v>664</v>
      </c>
      <c r="I48" s="25" t="s">
        <v>676</v>
      </c>
      <c r="J48" s="28">
        <v>21070</v>
      </c>
      <c r="K48" s="29">
        <f t="shared" si="12"/>
        <v>14660.869565217392</v>
      </c>
      <c r="L48" s="29">
        <f t="shared" si="13"/>
        <v>2199.1304347826081</v>
      </c>
      <c r="M48" s="30">
        <v>16860</v>
      </c>
    </row>
    <row r="49" spans="2:13" ht="23.25" x14ac:dyDescent="0.25">
      <c r="B49" s="22" t="s">
        <v>711</v>
      </c>
      <c r="C49" s="23" t="s">
        <v>722</v>
      </c>
      <c r="D49" s="24" t="s">
        <v>662</v>
      </c>
      <c r="E49" s="25">
        <v>12</v>
      </c>
      <c r="F49" s="57">
        <v>88</v>
      </c>
      <c r="G49" s="58" t="s">
        <v>663</v>
      </c>
      <c r="H49" s="27" t="s">
        <v>664</v>
      </c>
      <c r="I49" s="25" t="s">
        <v>676</v>
      </c>
      <c r="J49" s="28">
        <v>23830</v>
      </c>
      <c r="K49" s="29">
        <f t="shared" si="12"/>
        <v>16608.695652173916</v>
      </c>
      <c r="L49" s="29">
        <f t="shared" si="13"/>
        <v>2491.3043478260843</v>
      </c>
      <c r="M49" s="30">
        <v>19100</v>
      </c>
    </row>
    <row r="50" spans="2:13" ht="23.25" x14ac:dyDescent="0.25">
      <c r="B50" s="22" t="s">
        <v>711</v>
      </c>
      <c r="C50" s="23" t="s">
        <v>723</v>
      </c>
      <c r="D50" s="24" t="s">
        <v>662</v>
      </c>
      <c r="E50" s="25">
        <v>12</v>
      </c>
      <c r="F50" s="57">
        <v>100</v>
      </c>
      <c r="G50" s="58" t="s">
        <v>663</v>
      </c>
      <c r="H50" s="27" t="s">
        <v>664</v>
      </c>
      <c r="I50" s="25" t="s">
        <v>676</v>
      </c>
      <c r="J50" s="28">
        <v>25460</v>
      </c>
      <c r="K50" s="29">
        <f t="shared" si="12"/>
        <v>17713.043478260872</v>
      </c>
      <c r="L50" s="29">
        <f t="shared" si="13"/>
        <v>2656.9565217391282</v>
      </c>
      <c r="M50" s="30">
        <v>20370</v>
      </c>
    </row>
    <row r="51" spans="2:13" ht="23.25" x14ac:dyDescent="0.25">
      <c r="B51" s="22" t="s">
        <v>724</v>
      </c>
      <c r="C51" s="35" t="s">
        <v>725</v>
      </c>
      <c r="D51" s="24" t="s">
        <v>693</v>
      </c>
      <c r="E51" s="25">
        <v>12</v>
      </c>
      <c r="F51" s="57">
        <v>90</v>
      </c>
      <c r="G51" s="58">
        <v>15</v>
      </c>
      <c r="H51" s="27" t="s">
        <v>683</v>
      </c>
      <c r="I51" s="25" t="s">
        <v>726</v>
      </c>
      <c r="J51" s="28">
        <v>15280</v>
      </c>
      <c r="K51" s="29">
        <f>M51/1.15</f>
        <v>10634.782608695654</v>
      </c>
      <c r="L51" s="29">
        <f>M51-K51</f>
        <v>1595.2173913043462</v>
      </c>
      <c r="M51" s="30">
        <v>12230</v>
      </c>
    </row>
    <row r="52" spans="2:13" ht="23.25" x14ac:dyDescent="0.25">
      <c r="B52" s="22" t="s">
        <v>724</v>
      </c>
      <c r="C52" s="35" t="s">
        <v>727</v>
      </c>
      <c r="D52" s="24" t="s">
        <v>693</v>
      </c>
      <c r="E52" s="25">
        <v>12</v>
      </c>
      <c r="F52" s="57">
        <v>100</v>
      </c>
      <c r="G52" s="58">
        <v>17</v>
      </c>
      <c r="H52" s="27" t="s">
        <v>683</v>
      </c>
      <c r="I52" s="25" t="s">
        <v>726</v>
      </c>
      <c r="J52" s="28">
        <v>16050</v>
      </c>
      <c r="K52" s="29">
        <f t="shared" ref="K52:K56" si="14">M52/1.15</f>
        <v>11165.217391304348</v>
      </c>
      <c r="L52" s="29">
        <f t="shared" ref="L52:L56" si="15">M52-K52</f>
        <v>1674.782608695652</v>
      </c>
      <c r="M52" s="30">
        <v>12840</v>
      </c>
    </row>
    <row r="53" spans="2:13" ht="23.25" x14ac:dyDescent="0.25">
      <c r="B53" s="22" t="s">
        <v>724</v>
      </c>
      <c r="C53" s="35" t="s">
        <v>728</v>
      </c>
      <c r="D53" s="24" t="s">
        <v>693</v>
      </c>
      <c r="E53" s="25">
        <v>12</v>
      </c>
      <c r="F53" s="57">
        <v>120</v>
      </c>
      <c r="G53" s="58">
        <v>21</v>
      </c>
      <c r="H53" s="27" t="s">
        <v>683</v>
      </c>
      <c r="I53" s="25" t="s">
        <v>726</v>
      </c>
      <c r="J53" s="28">
        <v>19950</v>
      </c>
      <c r="K53" s="29">
        <f t="shared" si="14"/>
        <v>13878.260869565218</v>
      </c>
      <c r="L53" s="29">
        <f t="shared" si="15"/>
        <v>2081.7391304347821</v>
      </c>
      <c r="M53" s="30">
        <v>15960</v>
      </c>
    </row>
    <row r="54" spans="2:13" ht="23.25" x14ac:dyDescent="0.25">
      <c r="B54" s="22" t="s">
        <v>724</v>
      </c>
      <c r="C54" s="35" t="s">
        <v>729</v>
      </c>
      <c r="D54" s="24" t="s">
        <v>693</v>
      </c>
      <c r="E54" s="25">
        <v>12</v>
      </c>
      <c r="F54" s="57">
        <v>150</v>
      </c>
      <c r="G54" s="58">
        <v>25</v>
      </c>
      <c r="H54" s="27" t="s">
        <v>683</v>
      </c>
      <c r="I54" s="25" t="s">
        <v>726</v>
      </c>
      <c r="J54" s="28">
        <v>21630</v>
      </c>
      <c r="K54" s="29">
        <f t="shared" si="14"/>
        <v>15043.478260869566</v>
      </c>
      <c r="L54" s="29">
        <f t="shared" si="15"/>
        <v>2256.5217391304341</v>
      </c>
      <c r="M54" s="30">
        <v>17300</v>
      </c>
    </row>
    <row r="55" spans="2:13" ht="23.25" x14ac:dyDescent="0.25">
      <c r="B55" s="46" t="s">
        <v>724</v>
      </c>
      <c r="C55" s="47" t="s">
        <v>730</v>
      </c>
      <c r="D55" s="48" t="s">
        <v>693</v>
      </c>
      <c r="E55" s="49">
        <v>12</v>
      </c>
      <c r="F55" s="60">
        <v>160</v>
      </c>
      <c r="G55" s="61">
        <v>27</v>
      </c>
      <c r="H55" s="50" t="s">
        <v>683</v>
      </c>
      <c r="I55" s="49" t="s">
        <v>726</v>
      </c>
      <c r="J55" s="51">
        <v>24650</v>
      </c>
      <c r="K55" s="29">
        <f t="shared" si="14"/>
        <v>17147.826086956524</v>
      </c>
      <c r="L55" s="29">
        <f t="shared" si="15"/>
        <v>2572.1739130434762</v>
      </c>
      <c r="M55" s="30">
        <v>19720</v>
      </c>
    </row>
    <row r="56" spans="2:13" ht="23.25" x14ac:dyDescent="0.25">
      <c r="B56" s="33" t="s">
        <v>724</v>
      </c>
      <c r="C56" s="35" t="s">
        <v>731</v>
      </c>
      <c r="D56" s="34" t="s">
        <v>693</v>
      </c>
      <c r="E56" s="25">
        <v>12</v>
      </c>
      <c r="F56" s="57">
        <v>200</v>
      </c>
      <c r="G56" s="57">
        <v>29</v>
      </c>
      <c r="H56" s="25" t="s">
        <v>683</v>
      </c>
      <c r="I56" s="25" t="s">
        <v>726</v>
      </c>
      <c r="J56" s="28">
        <v>27270</v>
      </c>
      <c r="K56" s="52">
        <f t="shared" si="14"/>
        <v>18973.913043478264</v>
      </c>
      <c r="L56" s="53">
        <f t="shared" si="15"/>
        <v>2846.0869565217363</v>
      </c>
      <c r="M56" s="36">
        <v>21820</v>
      </c>
    </row>
    <row r="57" spans="2:13" ht="23.25" x14ac:dyDescent="0.25">
      <c r="B57" s="22" t="s">
        <v>732</v>
      </c>
      <c r="C57" s="35" t="s">
        <v>733</v>
      </c>
      <c r="D57" s="24" t="s">
        <v>693</v>
      </c>
      <c r="E57" s="25">
        <v>12</v>
      </c>
      <c r="F57" s="57">
        <v>100</v>
      </c>
      <c r="G57" s="57" t="s">
        <v>663</v>
      </c>
      <c r="H57" s="25" t="s">
        <v>734</v>
      </c>
      <c r="I57" s="25" t="s">
        <v>684</v>
      </c>
      <c r="J57" s="28">
        <v>15370</v>
      </c>
      <c r="K57" s="29">
        <f>M57/1.15</f>
        <v>10695.652173913044</v>
      </c>
      <c r="L57" s="29">
        <f>M57-K57</f>
        <v>1604.347826086956</v>
      </c>
      <c r="M57" s="30">
        <v>12300</v>
      </c>
    </row>
    <row r="58" spans="2:13" ht="23.25" x14ac:dyDescent="0.25">
      <c r="B58" s="22" t="s">
        <v>732</v>
      </c>
      <c r="C58" s="35" t="s">
        <v>735</v>
      </c>
      <c r="D58" s="24" t="s">
        <v>693</v>
      </c>
      <c r="E58" s="25">
        <v>12</v>
      </c>
      <c r="F58" s="57">
        <v>120</v>
      </c>
      <c r="G58" s="57" t="s">
        <v>663</v>
      </c>
      <c r="H58" s="25" t="s">
        <v>734</v>
      </c>
      <c r="I58" s="25" t="s">
        <v>684</v>
      </c>
      <c r="J58" s="28">
        <v>16600</v>
      </c>
      <c r="K58" s="29">
        <f t="shared" ref="K58:K62" si="16">M58/1.15</f>
        <v>11547.826086956522</v>
      </c>
      <c r="L58" s="29">
        <f t="shared" ref="L58:L62" si="17">M58-K58</f>
        <v>1732.173913043478</v>
      </c>
      <c r="M58" s="30">
        <v>13280</v>
      </c>
    </row>
    <row r="59" spans="2:13" ht="23.25" x14ac:dyDescent="0.25">
      <c r="B59" s="22" t="s">
        <v>732</v>
      </c>
      <c r="C59" s="35" t="s">
        <v>736</v>
      </c>
      <c r="D59" s="24" t="s">
        <v>693</v>
      </c>
      <c r="E59" s="25">
        <v>12</v>
      </c>
      <c r="F59" s="57">
        <v>120</v>
      </c>
      <c r="G59" s="57" t="s">
        <v>663</v>
      </c>
      <c r="H59" s="25" t="s">
        <v>734</v>
      </c>
      <c r="I59" s="25" t="s">
        <v>684</v>
      </c>
      <c r="J59" s="28">
        <v>18610</v>
      </c>
      <c r="K59" s="29">
        <f t="shared" si="16"/>
        <v>12947.826086956522</v>
      </c>
      <c r="L59" s="29">
        <f t="shared" si="17"/>
        <v>1942.173913043478</v>
      </c>
      <c r="M59" s="30">
        <v>14890</v>
      </c>
    </row>
    <row r="60" spans="2:13" ht="23.25" x14ac:dyDescent="0.25">
      <c r="B60" s="22" t="s">
        <v>732</v>
      </c>
      <c r="C60" s="35" t="s">
        <v>737</v>
      </c>
      <c r="D60" s="24" t="s">
        <v>693</v>
      </c>
      <c r="E60" s="25">
        <v>12</v>
      </c>
      <c r="F60" s="57">
        <v>150</v>
      </c>
      <c r="G60" s="57" t="s">
        <v>663</v>
      </c>
      <c r="H60" s="25" t="s">
        <v>734</v>
      </c>
      <c r="I60" s="25" t="s">
        <v>684</v>
      </c>
      <c r="J60" s="28">
        <v>23190</v>
      </c>
      <c r="K60" s="29">
        <f t="shared" si="16"/>
        <v>16130.434782608698</v>
      </c>
      <c r="L60" s="29">
        <f t="shared" si="17"/>
        <v>2419.5652173913022</v>
      </c>
      <c r="M60" s="30">
        <v>18550</v>
      </c>
    </row>
    <row r="61" spans="2:13" ht="23.25" x14ac:dyDescent="0.25">
      <c r="B61" s="22" t="s">
        <v>732</v>
      </c>
      <c r="C61" s="35" t="s">
        <v>738</v>
      </c>
      <c r="D61" s="24" t="s">
        <v>693</v>
      </c>
      <c r="E61" s="25">
        <v>12</v>
      </c>
      <c r="F61" s="57">
        <v>180</v>
      </c>
      <c r="G61" s="57" t="s">
        <v>663</v>
      </c>
      <c r="H61" s="25" t="s">
        <v>734</v>
      </c>
      <c r="I61" s="25" t="s">
        <v>684</v>
      </c>
      <c r="J61" s="28">
        <v>24160</v>
      </c>
      <c r="K61" s="29">
        <f t="shared" si="16"/>
        <v>16808.695652173916</v>
      </c>
      <c r="L61" s="29">
        <f t="shared" si="17"/>
        <v>2521.3043478260843</v>
      </c>
      <c r="M61" s="30">
        <v>19330</v>
      </c>
    </row>
    <row r="62" spans="2:13" ht="23.25" x14ac:dyDescent="0.25">
      <c r="B62" s="22" t="s">
        <v>732</v>
      </c>
      <c r="C62" s="35" t="s">
        <v>739</v>
      </c>
      <c r="D62" s="24" t="s">
        <v>693</v>
      </c>
      <c r="E62" s="25">
        <v>12</v>
      </c>
      <c r="F62" s="57">
        <v>200</v>
      </c>
      <c r="G62" s="57" t="s">
        <v>663</v>
      </c>
      <c r="H62" s="25" t="s">
        <v>734</v>
      </c>
      <c r="I62" s="25" t="s">
        <v>684</v>
      </c>
      <c r="J62" s="28">
        <v>25370</v>
      </c>
      <c r="K62" s="29">
        <f t="shared" si="16"/>
        <v>17652.17391304348</v>
      </c>
      <c r="L62" s="29">
        <f t="shared" si="17"/>
        <v>2647.8260869565202</v>
      </c>
      <c r="M62" s="30">
        <v>20300</v>
      </c>
    </row>
    <row r="63" spans="2:13" ht="23.25" x14ac:dyDescent="0.25">
      <c r="B63" s="22" t="s">
        <v>740</v>
      </c>
      <c r="C63" s="35" t="s">
        <v>741</v>
      </c>
      <c r="D63" s="24" t="s">
        <v>662</v>
      </c>
      <c r="E63" s="25">
        <v>12</v>
      </c>
      <c r="F63" s="57">
        <v>100</v>
      </c>
      <c r="G63" s="57">
        <v>17</v>
      </c>
      <c r="H63" s="25" t="s">
        <v>683</v>
      </c>
      <c r="I63" s="25" t="s">
        <v>726</v>
      </c>
      <c r="J63" s="28">
        <v>17550</v>
      </c>
      <c r="K63" s="29">
        <f>M63/1.15</f>
        <v>12173.913043478262</v>
      </c>
      <c r="L63" s="29">
        <f>M63-K63</f>
        <v>1826.0869565217381</v>
      </c>
      <c r="M63" s="30">
        <v>14000</v>
      </c>
    </row>
    <row r="64" spans="2:13" ht="23.25" x14ac:dyDescent="0.25">
      <c r="B64" s="22" t="s">
        <v>740</v>
      </c>
      <c r="C64" s="35" t="s">
        <v>742</v>
      </c>
      <c r="D64" s="24" t="s">
        <v>662</v>
      </c>
      <c r="E64" s="25">
        <v>12</v>
      </c>
      <c r="F64" s="57">
        <v>105</v>
      </c>
      <c r="G64" s="57">
        <v>19</v>
      </c>
      <c r="H64" s="25" t="s">
        <v>683</v>
      </c>
      <c r="I64" s="25" t="s">
        <v>726</v>
      </c>
      <c r="J64" s="28">
        <v>17970</v>
      </c>
      <c r="K64" s="29">
        <f t="shared" ref="K64:K67" si="18">M64/1.15</f>
        <v>11634.782608695654</v>
      </c>
      <c r="L64" s="29">
        <f t="shared" ref="L64:L67" si="19">M64-K64</f>
        <v>1745.2173913043462</v>
      </c>
      <c r="M64" s="30">
        <v>13380</v>
      </c>
    </row>
    <row r="65" spans="2:13" ht="23.25" x14ac:dyDescent="0.25">
      <c r="B65" s="22" t="s">
        <v>740</v>
      </c>
      <c r="C65" s="35" t="s">
        <v>743</v>
      </c>
      <c r="D65" s="24" t="s">
        <v>662</v>
      </c>
      <c r="E65" s="25">
        <v>12</v>
      </c>
      <c r="F65" s="57">
        <v>120</v>
      </c>
      <c r="G65" s="57">
        <v>21</v>
      </c>
      <c r="H65" s="25" t="s">
        <v>683</v>
      </c>
      <c r="I65" s="25" t="s">
        <v>726</v>
      </c>
      <c r="J65" s="28">
        <v>21440</v>
      </c>
      <c r="K65" s="29">
        <f t="shared" si="18"/>
        <v>14921.739130434784</v>
      </c>
      <c r="L65" s="29">
        <f t="shared" si="19"/>
        <v>2238.2608695652161</v>
      </c>
      <c r="M65" s="30">
        <v>17160</v>
      </c>
    </row>
    <row r="66" spans="2:13" ht="23.25" x14ac:dyDescent="0.25">
      <c r="B66" s="22" t="s">
        <v>740</v>
      </c>
      <c r="C66" s="35" t="s">
        <v>744</v>
      </c>
      <c r="D66" s="24" t="s">
        <v>662</v>
      </c>
      <c r="E66" s="25">
        <v>12</v>
      </c>
      <c r="F66" s="57">
        <v>150</v>
      </c>
      <c r="G66" s="57">
        <v>25</v>
      </c>
      <c r="H66" s="25" t="s">
        <v>683</v>
      </c>
      <c r="I66" s="25" t="s">
        <v>726</v>
      </c>
      <c r="J66" s="28">
        <v>26630</v>
      </c>
      <c r="K66" s="29">
        <f t="shared" si="18"/>
        <v>18521.739130434784</v>
      </c>
      <c r="L66" s="29">
        <f t="shared" si="19"/>
        <v>2778.2608695652161</v>
      </c>
      <c r="M66" s="30">
        <v>21300</v>
      </c>
    </row>
    <row r="67" spans="2:13" ht="23.25" x14ac:dyDescent="0.25">
      <c r="B67" s="33" t="s">
        <v>740</v>
      </c>
      <c r="C67" s="35" t="s">
        <v>745</v>
      </c>
      <c r="D67" s="24" t="s">
        <v>662</v>
      </c>
      <c r="E67" s="25">
        <v>12</v>
      </c>
      <c r="F67" s="57">
        <v>200</v>
      </c>
      <c r="G67" s="57">
        <v>29</v>
      </c>
      <c r="H67" s="25" t="s">
        <v>683</v>
      </c>
      <c r="I67" s="25" t="s">
        <v>726</v>
      </c>
      <c r="J67" s="28">
        <v>29410</v>
      </c>
      <c r="K67" s="29">
        <f t="shared" si="18"/>
        <v>20460.869565217392</v>
      </c>
      <c r="L67" s="29">
        <f t="shared" si="19"/>
        <v>3069.1304347826081</v>
      </c>
      <c r="M67" s="30">
        <v>23530</v>
      </c>
    </row>
    <row r="68" spans="2:13" ht="23.25" x14ac:dyDescent="0.25">
      <c r="B68" s="24" t="s">
        <v>746</v>
      </c>
      <c r="C68" s="35" t="s">
        <v>747</v>
      </c>
      <c r="D68" s="24" t="s">
        <v>693</v>
      </c>
      <c r="E68" s="25">
        <v>12</v>
      </c>
      <c r="F68" s="57">
        <v>50</v>
      </c>
      <c r="G68" s="57" t="s">
        <v>663</v>
      </c>
      <c r="H68" s="25" t="s">
        <v>683</v>
      </c>
      <c r="I68" s="25" t="s">
        <v>676</v>
      </c>
      <c r="J68" s="28">
        <v>10410</v>
      </c>
      <c r="K68" s="29">
        <f>M68/1.15</f>
        <v>7243.4782608695659</v>
      </c>
      <c r="L68" s="29">
        <f>M68-K68</f>
        <v>1086.5217391304341</v>
      </c>
      <c r="M68" s="30">
        <v>8330</v>
      </c>
    </row>
    <row r="69" spans="2:13" ht="23.25" x14ac:dyDescent="0.25">
      <c r="B69" s="24" t="s">
        <v>746</v>
      </c>
      <c r="C69" s="35" t="s">
        <v>748</v>
      </c>
      <c r="D69" s="24" t="s">
        <v>693</v>
      </c>
      <c r="E69" s="25">
        <v>12</v>
      </c>
      <c r="F69" s="57">
        <v>70</v>
      </c>
      <c r="G69" s="57" t="s">
        <v>663</v>
      </c>
      <c r="H69" s="25" t="s">
        <v>683</v>
      </c>
      <c r="I69" s="25" t="s">
        <v>676</v>
      </c>
      <c r="J69" s="28">
        <v>14930</v>
      </c>
      <c r="K69" s="29">
        <f t="shared" ref="K69:K73" si="20">M69/1.15</f>
        <v>10391.304347826088</v>
      </c>
      <c r="L69" s="29">
        <f t="shared" ref="L69:L73" si="21">M69-K69</f>
        <v>1558.6956521739121</v>
      </c>
      <c r="M69" s="30">
        <v>11950</v>
      </c>
    </row>
    <row r="70" spans="2:13" ht="23.25" x14ac:dyDescent="0.25">
      <c r="B70" s="24" t="s">
        <v>746</v>
      </c>
      <c r="C70" s="35" t="s">
        <v>749</v>
      </c>
      <c r="D70" s="24" t="s">
        <v>693</v>
      </c>
      <c r="E70" s="25">
        <v>12</v>
      </c>
      <c r="F70" s="57">
        <v>100</v>
      </c>
      <c r="G70" s="57" t="s">
        <v>663</v>
      </c>
      <c r="H70" s="25" t="s">
        <v>683</v>
      </c>
      <c r="I70" s="25" t="s">
        <v>676</v>
      </c>
      <c r="J70" s="28">
        <v>17880</v>
      </c>
      <c r="K70" s="29">
        <f t="shared" si="20"/>
        <v>12173.913043478262</v>
      </c>
      <c r="L70" s="29">
        <f t="shared" si="21"/>
        <v>1826.0869565217381</v>
      </c>
      <c r="M70" s="30">
        <v>14000</v>
      </c>
    </row>
    <row r="71" spans="2:13" ht="23.25" x14ac:dyDescent="0.25">
      <c r="B71" s="24" t="s">
        <v>746</v>
      </c>
      <c r="C71" s="35" t="s">
        <v>750</v>
      </c>
      <c r="D71" s="24" t="s">
        <v>693</v>
      </c>
      <c r="E71" s="25">
        <v>12</v>
      </c>
      <c r="F71" s="57">
        <v>120</v>
      </c>
      <c r="G71" s="57" t="s">
        <v>663</v>
      </c>
      <c r="H71" s="25" t="s">
        <v>683</v>
      </c>
      <c r="I71" s="25" t="s">
        <v>676</v>
      </c>
      <c r="J71" s="28">
        <v>21950</v>
      </c>
      <c r="K71" s="29">
        <f t="shared" si="20"/>
        <v>15269.565217391306</v>
      </c>
      <c r="L71" s="29">
        <f t="shared" si="21"/>
        <v>2290.4347826086941</v>
      </c>
      <c r="M71" s="30">
        <v>17560</v>
      </c>
    </row>
    <row r="72" spans="2:13" ht="23.25" x14ac:dyDescent="0.25">
      <c r="B72" s="24" t="s">
        <v>746</v>
      </c>
      <c r="C72" s="35" t="s">
        <v>751</v>
      </c>
      <c r="D72" s="24" t="s">
        <v>693</v>
      </c>
      <c r="E72" s="25">
        <v>12</v>
      </c>
      <c r="F72" s="57">
        <v>150</v>
      </c>
      <c r="G72" s="57" t="s">
        <v>663</v>
      </c>
      <c r="H72" s="25" t="s">
        <v>683</v>
      </c>
      <c r="I72" s="25" t="s">
        <v>676</v>
      </c>
      <c r="J72" s="28">
        <v>26610</v>
      </c>
      <c r="K72" s="29">
        <f t="shared" si="20"/>
        <v>18521.739130434784</v>
      </c>
      <c r="L72" s="29">
        <f t="shared" si="21"/>
        <v>2778.2608695652161</v>
      </c>
      <c r="M72" s="30">
        <v>21300</v>
      </c>
    </row>
    <row r="73" spans="2:13" ht="23.25" x14ac:dyDescent="0.25">
      <c r="B73" s="24" t="s">
        <v>746</v>
      </c>
      <c r="C73" s="35" t="s">
        <v>752</v>
      </c>
      <c r="D73" s="24" t="s">
        <v>693</v>
      </c>
      <c r="E73" s="25">
        <v>12</v>
      </c>
      <c r="F73" s="57">
        <v>200</v>
      </c>
      <c r="G73" s="57" t="s">
        <v>663</v>
      </c>
      <c r="H73" s="25" t="s">
        <v>683</v>
      </c>
      <c r="I73" s="25" t="s">
        <v>676</v>
      </c>
      <c r="J73" s="28">
        <v>31690</v>
      </c>
      <c r="K73" s="29">
        <f t="shared" si="20"/>
        <v>22043.478260869568</v>
      </c>
      <c r="L73" s="29">
        <f t="shared" si="21"/>
        <v>3306.5217391304323</v>
      </c>
      <c r="M73" s="30">
        <v>25350</v>
      </c>
    </row>
  </sheetData>
  <conditionalFormatting sqref="B27:B28 B29:F36 C37:F38 B3:F26">
    <cfRule type="expression" dxfId="239" priority="233">
      <formula>#REF!</formula>
    </cfRule>
    <cfRule type="expression" dxfId="238" priority="234">
      <formula>#REF!</formula>
    </cfRule>
    <cfRule type="expression" dxfId="237" priority="235">
      <formula>B3</formula>
    </cfRule>
    <cfRule type="expression" dxfId="236" priority="236">
      <formula>#REF!</formula>
    </cfRule>
  </conditionalFormatting>
  <conditionalFormatting sqref="G3:N3 G10:H11 N9 G4:H8 J4:N8 I4:I11 J30:M33 G30:I34">
    <cfRule type="expression" dxfId="235" priority="237">
      <formula>#REF!</formula>
    </cfRule>
    <cfRule type="expression" dxfId="234" priority="238">
      <formula>#REF!</formula>
    </cfRule>
    <cfRule type="expression" dxfId="233" priority="239">
      <formula>G3</formula>
    </cfRule>
    <cfRule type="expression" dxfId="232" priority="240">
      <formula>#REF!</formula>
    </cfRule>
  </conditionalFormatting>
  <conditionalFormatting sqref="J10:N10">
    <cfRule type="expression" dxfId="231" priority="229">
      <formula>#REF!</formula>
    </cfRule>
    <cfRule type="expression" dxfId="230" priority="230">
      <formula>#REF!</formula>
    </cfRule>
    <cfRule type="expression" dxfId="229" priority="231">
      <formula>J10</formula>
    </cfRule>
    <cfRule type="expression" dxfId="228" priority="232">
      <formula>#REF!</formula>
    </cfRule>
  </conditionalFormatting>
  <conditionalFormatting sqref="J11:N11 I12:M16 G12:G16 I18:M18 J19:M21 I19:I22 G18:H22 G27:H27 I27:M28 N15:N18">
    <cfRule type="expression" dxfId="227" priority="225">
      <formula>#REF!</formula>
    </cfRule>
    <cfRule type="expression" dxfId="226" priority="226">
      <formula>#REF!</formula>
    </cfRule>
    <cfRule type="expression" dxfId="225" priority="227">
      <formula>G11</formula>
    </cfRule>
    <cfRule type="expression" dxfId="224" priority="228">
      <formula>#REF!</formula>
    </cfRule>
  </conditionalFormatting>
  <conditionalFormatting sqref="N12">
    <cfRule type="expression" dxfId="223" priority="221">
      <formula>#REF!</formula>
    </cfRule>
    <cfRule type="expression" dxfId="222" priority="222">
      <formula>#REF!</formula>
    </cfRule>
    <cfRule type="expression" dxfId="221" priority="223">
      <formula>N12</formula>
    </cfRule>
    <cfRule type="expression" dxfId="220" priority="224">
      <formula>#REF!</formula>
    </cfRule>
  </conditionalFormatting>
  <conditionalFormatting sqref="N13">
    <cfRule type="expression" dxfId="219" priority="217">
      <formula>#REF!</formula>
    </cfRule>
    <cfRule type="expression" dxfId="218" priority="218">
      <formula>#REF!</formula>
    </cfRule>
    <cfRule type="expression" dxfId="217" priority="219">
      <formula>N13</formula>
    </cfRule>
    <cfRule type="expression" dxfId="216" priority="220">
      <formula>#REF!</formula>
    </cfRule>
  </conditionalFormatting>
  <conditionalFormatting sqref="G17:M17">
    <cfRule type="expression" dxfId="215" priority="213">
      <formula>#REF!</formula>
    </cfRule>
    <cfRule type="expression" dxfId="214" priority="214">
      <formula>#REF!</formula>
    </cfRule>
    <cfRule type="expression" dxfId="213" priority="215">
      <formula>G17</formula>
    </cfRule>
    <cfRule type="expression" dxfId="212" priority="216">
      <formula>#REF!</formula>
    </cfRule>
  </conditionalFormatting>
  <conditionalFormatting sqref="J22:M22">
    <cfRule type="expression" dxfId="211" priority="205">
      <formula>#REF!</formula>
    </cfRule>
    <cfRule type="expression" dxfId="210" priority="206">
      <formula>#REF!</formula>
    </cfRule>
    <cfRule type="expression" dxfId="209" priority="207">
      <formula>J22</formula>
    </cfRule>
    <cfRule type="expression" dxfId="208" priority="208">
      <formula>#REF!</formula>
    </cfRule>
  </conditionalFormatting>
  <conditionalFormatting sqref="G24:M26">
    <cfRule type="expression" dxfId="207" priority="209">
      <formula>#REF!</formula>
    </cfRule>
    <cfRule type="expression" dxfId="206" priority="210">
      <formula>#REF!</formula>
    </cfRule>
    <cfRule type="expression" dxfId="205" priority="211">
      <formula>G24</formula>
    </cfRule>
    <cfRule type="expression" dxfId="204" priority="212">
      <formula>#REF!</formula>
    </cfRule>
  </conditionalFormatting>
  <conditionalFormatting sqref="G9:H9">
    <cfRule type="expression" dxfId="203" priority="201">
      <formula>#REF!</formula>
    </cfRule>
    <cfRule type="expression" dxfId="202" priority="202">
      <formula>#REF!</formula>
    </cfRule>
    <cfRule type="expression" dxfId="201" priority="203">
      <formula>G9</formula>
    </cfRule>
    <cfRule type="expression" dxfId="200" priority="204">
      <formula>#REF!</formula>
    </cfRule>
  </conditionalFormatting>
  <conditionalFormatting sqref="C9">
    <cfRule type="expression" dxfId="199" priority="193">
      <formula>#REF!</formula>
    </cfRule>
    <cfRule type="expression" dxfId="198" priority="194">
      <formula>#REF!</formula>
    </cfRule>
    <cfRule type="expression" dxfId="197" priority="195">
      <formula>C9</formula>
    </cfRule>
    <cfRule type="expression" dxfId="196" priority="196">
      <formula>#REF!</formula>
    </cfRule>
  </conditionalFormatting>
  <conditionalFormatting sqref="J9:M9">
    <cfRule type="expression" dxfId="195" priority="189">
      <formula>#REF!</formula>
    </cfRule>
    <cfRule type="expression" dxfId="194" priority="190">
      <formula>#REF!</formula>
    </cfRule>
    <cfRule type="expression" dxfId="193" priority="191">
      <formula>J9</formula>
    </cfRule>
    <cfRule type="expression" dxfId="192" priority="192">
      <formula>#REF!</formula>
    </cfRule>
  </conditionalFormatting>
  <conditionalFormatting sqref="C7">
    <cfRule type="expression" dxfId="191" priority="185">
      <formula>#REF!</formula>
    </cfRule>
    <cfRule type="expression" dxfId="190" priority="186">
      <formula>#REF!</formula>
    </cfRule>
    <cfRule type="expression" dxfId="189" priority="187">
      <formula>C7</formula>
    </cfRule>
    <cfRule type="expression" dxfId="188" priority="188">
      <formula>#REF!</formula>
    </cfRule>
  </conditionalFormatting>
  <conditionalFormatting sqref="C10">
    <cfRule type="expression" dxfId="187" priority="181">
      <formula>#REF!</formula>
    </cfRule>
    <cfRule type="expression" dxfId="186" priority="182">
      <formula>#REF!</formula>
    </cfRule>
    <cfRule type="expression" dxfId="185" priority="183">
      <formula>C10</formula>
    </cfRule>
    <cfRule type="expression" dxfId="184" priority="184">
      <formula>#REF!</formula>
    </cfRule>
  </conditionalFormatting>
  <conditionalFormatting sqref="C8">
    <cfRule type="expression" dxfId="183" priority="177">
      <formula>#REF!</formula>
    </cfRule>
    <cfRule type="expression" dxfId="182" priority="178">
      <formula>#REF!</formula>
    </cfRule>
    <cfRule type="expression" dxfId="181" priority="179">
      <formula>C8</formula>
    </cfRule>
    <cfRule type="expression" dxfId="180" priority="180">
      <formula>#REF!</formula>
    </cfRule>
  </conditionalFormatting>
  <conditionalFormatting sqref="C9">
    <cfRule type="expression" dxfId="179" priority="173">
      <formula>#REF!</formula>
    </cfRule>
    <cfRule type="expression" dxfId="178" priority="174">
      <formula>#REF!</formula>
    </cfRule>
    <cfRule type="expression" dxfId="177" priority="175">
      <formula>C9</formula>
    </cfRule>
    <cfRule type="expression" dxfId="176" priority="176">
      <formula>#REF!</formula>
    </cfRule>
  </conditionalFormatting>
  <conditionalFormatting sqref="C9">
    <cfRule type="expression" dxfId="175" priority="169">
      <formula>#REF!</formula>
    </cfRule>
    <cfRule type="expression" dxfId="174" priority="170">
      <formula>#REF!</formula>
    </cfRule>
    <cfRule type="expression" dxfId="173" priority="171">
      <formula>C9</formula>
    </cfRule>
    <cfRule type="expression" dxfId="172" priority="172">
      <formula>#REF!</formula>
    </cfRule>
  </conditionalFormatting>
  <conditionalFormatting sqref="C10">
    <cfRule type="expression" dxfId="171" priority="165">
      <formula>#REF!</formula>
    </cfRule>
    <cfRule type="expression" dxfId="170" priority="166">
      <formula>#REF!</formula>
    </cfRule>
    <cfRule type="expression" dxfId="169" priority="167">
      <formula>C10</formula>
    </cfRule>
    <cfRule type="expression" dxfId="168" priority="168">
      <formula>#REF!</formula>
    </cfRule>
  </conditionalFormatting>
  <conditionalFormatting sqref="C10">
    <cfRule type="expression" dxfId="167" priority="161">
      <formula>#REF!</formula>
    </cfRule>
    <cfRule type="expression" dxfId="166" priority="162">
      <formula>#REF!</formula>
    </cfRule>
    <cfRule type="expression" dxfId="165" priority="163">
      <formula>C10</formula>
    </cfRule>
    <cfRule type="expression" dxfId="164" priority="164">
      <formula>#REF!</formula>
    </cfRule>
  </conditionalFormatting>
  <conditionalFormatting sqref="C10">
    <cfRule type="expression" dxfId="163" priority="157">
      <formula>#REF!</formula>
    </cfRule>
    <cfRule type="expression" dxfId="162" priority="158">
      <formula>#REF!</formula>
    </cfRule>
    <cfRule type="expression" dxfId="161" priority="159">
      <formula>C10</formula>
    </cfRule>
    <cfRule type="expression" dxfId="160" priority="160">
      <formula>#REF!</formula>
    </cfRule>
  </conditionalFormatting>
  <conditionalFormatting sqref="C11">
    <cfRule type="expression" dxfId="159" priority="153">
      <formula>#REF!</formula>
    </cfRule>
    <cfRule type="expression" dxfId="158" priority="154">
      <formula>#REF!</formula>
    </cfRule>
    <cfRule type="expression" dxfId="157" priority="155">
      <formula>C11</formula>
    </cfRule>
    <cfRule type="expression" dxfId="156" priority="156">
      <formula>#REF!</formula>
    </cfRule>
  </conditionalFormatting>
  <conditionalFormatting sqref="C11">
    <cfRule type="expression" dxfId="155" priority="149">
      <formula>#REF!</formula>
    </cfRule>
    <cfRule type="expression" dxfId="154" priority="150">
      <formula>#REF!</formula>
    </cfRule>
    <cfRule type="expression" dxfId="153" priority="151">
      <formula>C11</formula>
    </cfRule>
    <cfRule type="expression" dxfId="152" priority="152">
      <formula>#REF!</formula>
    </cfRule>
  </conditionalFormatting>
  <conditionalFormatting sqref="C11">
    <cfRule type="expression" dxfId="151" priority="145">
      <formula>#REF!</formula>
    </cfRule>
    <cfRule type="expression" dxfId="150" priority="146">
      <formula>#REF!</formula>
    </cfRule>
    <cfRule type="expression" dxfId="149" priority="147">
      <formula>C11</formula>
    </cfRule>
    <cfRule type="expression" dxfId="148" priority="148">
      <formula>#REF!</formula>
    </cfRule>
  </conditionalFormatting>
  <conditionalFormatting sqref="C11">
    <cfRule type="expression" dxfId="147" priority="141">
      <formula>#REF!</formula>
    </cfRule>
    <cfRule type="expression" dxfId="146" priority="142">
      <formula>#REF!</formula>
    </cfRule>
    <cfRule type="expression" dxfId="145" priority="143">
      <formula>C11</formula>
    </cfRule>
    <cfRule type="expression" dxfId="144" priority="144">
      <formula>#REF!</formula>
    </cfRule>
  </conditionalFormatting>
  <conditionalFormatting sqref="H12:H16">
    <cfRule type="expression" dxfId="143" priority="137">
      <formula>#REF!</formula>
    </cfRule>
    <cfRule type="expression" dxfId="142" priority="138">
      <formula>#REF!</formula>
    </cfRule>
    <cfRule type="expression" dxfId="141" priority="139">
      <formula>H12</formula>
    </cfRule>
    <cfRule type="expression" dxfId="140" priority="140">
      <formula>#REF!</formula>
    </cfRule>
  </conditionalFormatting>
  <conditionalFormatting sqref="G23:I23">
    <cfRule type="expression" dxfId="139" priority="133">
      <formula>#REF!</formula>
    </cfRule>
    <cfRule type="expression" dxfId="138" priority="134">
      <formula>#REF!</formula>
    </cfRule>
    <cfRule type="expression" dxfId="137" priority="135">
      <formula>G23</formula>
    </cfRule>
    <cfRule type="expression" dxfId="136" priority="136">
      <formula>#REF!</formula>
    </cfRule>
  </conditionalFormatting>
  <conditionalFormatting sqref="J23:M23">
    <cfRule type="expression" dxfId="135" priority="129">
      <formula>#REF!</formula>
    </cfRule>
    <cfRule type="expression" dxfId="134" priority="130">
      <formula>#REF!</formula>
    </cfRule>
    <cfRule type="expression" dxfId="133" priority="131">
      <formula>J23</formula>
    </cfRule>
    <cfRule type="expression" dxfId="132" priority="132">
      <formula>#REF!</formula>
    </cfRule>
  </conditionalFormatting>
  <conditionalFormatting sqref="G28:H28">
    <cfRule type="expression" dxfId="131" priority="125">
      <formula>#REF!</formula>
    </cfRule>
    <cfRule type="expression" dxfId="130" priority="126">
      <formula>#REF!</formula>
    </cfRule>
    <cfRule type="expression" dxfId="129" priority="127">
      <formula>G28</formula>
    </cfRule>
    <cfRule type="expression" dxfId="128" priority="128">
      <formula>#REF!</formula>
    </cfRule>
  </conditionalFormatting>
  <conditionalFormatting sqref="C27:F27">
    <cfRule type="expression" dxfId="127" priority="241">
      <formula>#REF!</formula>
    </cfRule>
    <cfRule type="expression" dxfId="126" priority="242">
      <formula>#REF!</formula>
    </cfRule>
    <cfRule type="expression" dxfId="125" priority="243">
      <formula>C27</formula>
    </cfRule>
    <cfRule type="expression" dxfId="124" priority="244">
      <formula>#REF!</formula>
    </cfRule>
  </conditionalFormatting>
  <conditionalFormatting sqref="G29:M29">
    <cfRule type="expression" dxfId="123" priority="121">
      <formula>#REF!</formula>
    </cfRule>
    <cfRule type="expression" dxfId="122" priority="122">
      <formula>#REF!</formula>
    </cfRule>
    <cfRule type="expression" dxfId="121" priority="123">
      <formula>G29</formula>
    </cfRule>
    <cfRule type="expression" dxfId="120" priority="124">
      <formula>#REF!</formula>
    </cfRule>
  </conditionalFormatting>
  <conditionalFormatting sqref="J34:M34">
    <cfRule type="expression" dxfId="119" priority="117">
      <formula>#REF!</formula>
    </cfRule>
    <cfRule type="expression" dxfId="118" priority="118">
      <formula>#REF!</formula>
    </cfRule>
    <cfRule type="expression" dxfId="117" priority="119">
      <formula>J34</formula>
    </cfRule>
    <cfRule type="expression" dxfId="116" priority="120">
      <formula>#REF!</formula>
    </cfRule>
  </conditionalFormatting>
  <conditionalFormatting sqref="G35:I35">
    <cfRule type="expression" dxfId="115" priority="113">
      <formula>#REF!</formula>
    </cfRule>
    <cfRule type="expression" dxfId="114" priority="114">
      <formula>#REF!</formula>
    </cfRule>
    <cfRule type="expression" dxfId="113" priority="115">
      <formula>G35</formula>
    </cfRule>
    <cfRule type="expression" dxfId="112" priority="116">
      <formula>#REF!</formula>
    </cfRule>
  </conditionalFormatting>
  <conditionalFormatting sqref="J35:M35">
    <cfRule type="expression" dxfId="111" priority="109">
      <formula>#REF!</formula>
    </cfRule>
    <cfRule type="expression" dxfId="110" priority="110">
      <formula>#REF!</formula>
    </cfRule>
    <cfRule type="expression" dxfId="109" priority="111">
      <formula>J35</formula>
    </cfRule>
    <cfRule type="expression" dxfId="108" priority="112">
      <formula>#REF!</formula>
    </cfRule>
  </conditionalFormatting>
  <conditionalFormatting sqref="G36:I36">
    <cfRule type="expression" dxfId="107" priority="105">
      <formula>#REF!</formula>
    </cfRule>
    <cfRule type="expression" dxfId="106" priority="106">
      <formula>#REF!</formula>
    </cfRule>
    <cfRule type="expression" dxfId="105" priority="107">
      <formula>G36</formula>
    </cfRule>
    <cfRule type="expression" dxfId="104" priority="108">
      <formula>#REF!</formula>
    </cfRule>
  </conditionalFormatting>
  <conditionalFormatting sqref="J36:M36">
    <cfRule type="expression" dxfId="103" priority="101">
      <formula>#REF!</formula>
    </cfRule>
    <cfRule type="expression" dxfId="102" priority="102">
      <formula>#REF!</formula>
    </cfRule>
    <cfRule type="expression" dxfId="101" priority="103">
      <formula>J36</formula>
    </cfRule>
    <cfRule type="expression" dxfId="100" priority="104">
      <formula>#REF!</formula>
    </cfRule>
  </conditionalFormatting>
  <conditionalFormatting sqref="J38:M38">
    <cfRule type="expression" dxfId="99" priority="81">
      <formula>#REF!</formula>
    </cfRule>
    <cfRule type="expression" dxfId="98" priority="82">
      <formula>#REF!</formula>
    </cfRule>
    <cfRule type="expression" dxfId="97" priority="83">
      <formula>J38</formula>
    </cfRule>
    <cfRule type="expression" dxfId="96" priority="84">
      <formula>#REF!</formula>
    </cfRule>
  </conditionalFormatting>
  <conditionalFormatting sqref="B38">
    <cfRule type="expression" dxfId="95" priority="97">
      <formula>#REF!</formula>
    </cfRule>
    <cfRule type="expression" dxfId="94" priority="98">
      <formula>#REF!</formula>
    </cfRule>
    <cfRule type="expression" dxfId="93" priority="99">
      <formula>B38</formula>
    </cfRule>
    <cfRule type="expression" dxfId="92" priority="100">
      <formula>#REF!</formula>
    </cfRule>
  </conditionalFormatting>
  <conditionalFormatting sqref="G37:I37">
    <cfRule type="expression" dxfId="91" priority="93">
      <formula>#REF!</formula>
    </cfRule>
    <cfRule type="expression" dxfId="90" priority="94">
      <formula>#REF!</formula>
    </cfRule>
    <cfRule type="expression" dxfId="89" priority="95">
      <formula>G37</formula>
    </cfRule>
    <cfRule type="expression" dxfId="88" priority="96">
      <formula>#REF!</formula>
    </cfRule>
  </conditionalFormatting>
  <conditionalFormatting sqref="J37:M37">
    <cfRule type="expression" dxfId="87" priority="89">
      <formula>#REF!</formula>
    </cfRule>
    <cfRule type="expression" dxfId="86" priority="90">
      <formula>#REF!</formula>
    </cfRule>
    <cfRule type="expression" dxfId="85" priority="91">
      <formula>J37</formula>
    </cfRule>
    <cfRule type="expression" dxfId="84" priority="92">
      <formula>#REF!</formula>
    </cfRule>
  </conditionalFormatting>
  <conditionalFormatting sqref="G38:I38">
    <cfRule type="expression" dxfId="83" priority="85">
      <formula>#REF!</formula>
    </cfRule>
    <cfRule type="expression" dxfId="82" priority="86">
      <formula>#REF!</formula>
    </cfRule>
    <cfRule type="expression" dxfId="81" priority="87">
      <formula>G38</formula>
    </cfRule>
    <cfRule type="expression" dxfId="80" priority="88">
      <formula>#REF!</formula>
    </cfRule>
  </conditionalFormatting>
  <conditionalFormatting sqref="G39:M44 G46:I47 G49:I50 I58:M58 J59:M61 I59:I62 G58:H62">
    <cfRule type="expression" dxfId="79" priority="77">
      <formula>#REF!</formula>
    </cfRule>
    <cfRule type="expression" dxfId="78" priority="78">
      <formula>#REF!</formula>
    </cfRule>
    <cfRule type="expression" dxfId="77" priority="79">
      <formula>G39</formula>
    </cfRule>
    <cfRule type="expression" dxfId="76" priority="80">
      <formula>#REF!</formula>
    </cfRule>
  </conditionalFormatting>
  <conditionalFormatting sqref="J46:M46">
    <cfRule type="expression" dxfId="75" priority="73">
      <formula>#REF!</formula>
    </cfRule>
    <cfRule type="expression" dxfId="74" priority="74">
      <formula>#REF!</formula>
    </cfRule>
    <cfRule type="expression" dxfId="73" priority="75">
      <formula>J46</formula>
    </cfRule>
    <cfRule type="expression" dxfId="72" priority="76">
      <formula>#REF!</formula>
    </cfRule>
  </conditionalFormatting>
  <conditionalFormatting sqref="J47:M47">
    <cfRule type="expression" dxfId="71" priority="69">
      <formula>#REF!</formula>
    </cfRule>
    <cfRule type="expression" dxfId="70" priority="70">
      <formula>#REF!</formula>
    </cfRule>
    <cfRule type="expression" dxfId="69" priority="71">
      <formula>J47</formula>
    </cfRule>
    <cfRule type="expression" dxfId="68" priority="72">
      <formula>#REF!</formula>
    </cfRule>
  </conditionalFormatting>
  <conditionalFormatting sqref="J49:M49">
    <cfRule type="expression" dxfId="67" priority="65">
      <formula>#REF!</formula>
    </cfRule>
    <cfRule type="expression" dxfId="66" priority="66">
      <formula>#REF!</formula>
    </cfRule>
    <cfRule type="expression" dxfId="65" priority="67">
      <formula>J49</formula>
    </cfRule>
    <cfRule type="expression" dxfId="64" priority="68">
      <formula>#REF!</formula>
    </cfRule>
  </conditionalFormatting>
  <conditionalFormatting sqref="J50:M50">
    <cfRule type="expression" dxfId="63" priority="61">
      <formula>#REF!</formula>
    </cfRule>
    <cfRule type="expression" dxfId="62" priority="62">
      <formula>#REF!</formula>
    </cfRule>
    <cfRule type="expression" dxfId="61" priority="63">
      <formula>J50</formula>
    </cfRule>
    <cfRule type="expression" dxfId="60" priority="64">
      <formula>#REF!</formula>
    </cfRule>
  </conditionalFormatting>
  <conditionalFormatting sqref="G51:M56">
    <cfRule type="expression" dxfId="59" priority="57">
      <formula>#REF!</formula>
    </cfRule>
    <cfRule type="expression" dxfId="58" priority="58">
      <formula>#REF!</formula>
    </cfRule>
    <cfRule type="expression" dxfId="57" priority="59">
      <formula>G51</formula>
    </cfRule>
    <cfRule type="expression" dxfId="56" priority="60">
      <formula>#REF!</formula>
    </cfRule>
  </conditionalFormatting>
  <conditionalFormatting sqref="G57:M57">
    <cfRule type="expression" dxfId="55" priority="53">
      <formula>#REF!</formula>
    </cfRule>
    <cfRule type="expression" dxfId="54" priority="54">
      <formula>#REF!</formula>
    </cfRule>
    <cfRule type="expression" dxfId="53" priority="55">
      <formula>G57</formula>
    </cfRule>
    <cfRule type="expression" dxfId="52" priority="56">
      <formula>#REF!</formula>
    </cfRule>
  </conditionalFormatting>
  <conditionalFormatting sqref="B39:F44 D45:F47 B46:B50 C46:C47 B45:C45 C48:F50 B51:F67">
    <cfRule type="expression" dxfId="51" priority="41">
      <formula>#REF!</formula>
    </cfRule>
    <cfRule type="expression" dxfId="50" priority="42">
      <formula>#REF!</formula>
    </cfRule>
    <cfRule type="expression" dxfId="49" priority="43">
      <formula>B39</formula>
    </cfRule>
    <cfRule type="expression" dxfId="48" priority="44">
      <formula>#REF!</formula>
    </cfRule>
  </conditionalFormatting>
  <conditionalFormatting sqref="J62:M62">
    <cfRule type="expression" dxfId="47" priority="37">
      <formula>#REF!</formula>
    </cfRule>
    <cfRule type="expression" dxfId="46" priority="38">
      <formula>#REF!</formula>
    </cfRule>
    <cfRule type="expression" dxfId="45" priority="39">
      <formula>J62</formula>
    </cfRule>
    <cfRule type="expression" dxfId="44" priority="40">
      <formula>#REF!</formula>
    </cfRule>
  </conditionalFormatting>
  <conditionalFormatting sqref="G63:M67">
    <cfRule type="expression" dxfId="43" priority="45">
      <formula>#REF!</formula>
    </cfRule>
    <cfRule type="expression" dxfId="42" priority="46">
      <formula>#REF!</formula>
    </cfRule>
    <cfRule type="expression" dxfId="41" priority="47">
      <formula>G63</formula>
    </cfRule>
    <cfRule type="expression" dxfId="40" priority="48">
      <formula>#REF!</formula>
    </cfRule>
  </conditionalFormatting>
  <conditionalFormatting sqref="G45:I45">
    <cfRule type="expression" dxfId="39" priority="33">
      <formula>#REF!</formula>
    </cfRule>
    <cfRule type="expression" dxfId="38" priority="34">
      <formula>#REF!</formula>
    </cfRule>
    <cfRule type="expression" dxfId="37" priority="35">
      <formula>G45</formula>
    </cfRule>
    <cfRule type="expression" dxfId="36" priority="36">
      <formula>#REF!</formula>
    </cfRule>
  </conditionalFormatting>
  <conditionalFormatting sqref="J45:M45">
    <cfRule type="expression" dxfId="35" priority="29">
      <formula>#REF!</formula>
    </cfRule>
    <cfRule type="expression" dxfId="34" priority="30">
      <formula>#REF!</formula>
    </cfRule>
    <cfRule type="expression" dxfId="33" priority="31">
      <formula>J45</formula>
    </cfRule>
    <cfRule type="expression" dxfId="32" priority="32">
      <formula>#REF!</formula>
    </cfRule>
  </conditionalFormatting>
  <conditionalFormatting sqref="G48:I48">
    <cfRule type="expression" dxfId="31" priority="25">
      <formula>#REF!</formula>
    </cfRule>
    <cfRule type="expression" dxfId="30" priority="26">
      <formula>#REF!</formula>
    </cfRule>
    <cfRule type="expression" dxfId="29" priority="27">
      <formula>G48</formula>
    </cfRule>
    <cfRule type="expression" dxfId="28" priority="28">
      <formula>#REF!</formula>
    </cfRule>
  </conditionalFormatting>
  <conditionalFormatting sqref="J48:M48">
    <cfRule type="expression" dxfId="27" priority="21">
      <formula>#REF!</formula>
    </cfRule>
    <cfRule type="expression" dxfId="26" priority="22">
      <formula>#REF!</formula>
    </cfRule>
    <cfRule type="expression" dxfId="25" priority="23">
      <formula>J48</formula>
    </cfRule>
    <cfRule type="expression" dxfId="24" priority="24">
      <formula>#REF!</formula>
    </cfRule>
  </conditionalFormatting>
  <conditionalFormatting sqref="B37">
    <cfRule type="expression" dxfId="23" priority="245">
      <formula>#REF!</formula>
    </cfRule>
    <cfRule type="expression" dxfId="22" priority="246">
      <formula>#REF!</formula>
    </cfRule>
    <cfRule type="expression" dxfId="21" priority="247">
      <formula>B37</formula>
    </cfRule>
    <cfRule type="expression" dxfId="20" priority="248">
      <formula>#REF!</formula>
    </cfRule>
  </conditionalFormatting>
  <conditionalFormatting sqref="C28:F28">
    <cfRule type="expression" dxfId="19" priority="249">
      <formula>#REF!</formula>
    </cfRule>
    <cfRule type="expression" dxfId="18" priority="250">
      <formula>#REF!</formula>
    </cfRule>
    <cfRule type="expression" dxfId="17" priority="251">
      <formula>C28</formula>
    </cfRule>
    <cfRule type="expression" dxfId="16" priority="252">
      <formula>#REF!</formula>
    </cfRule>
  </conditionalFormatting>
  <conditionalFormatting sqref="B68:F68 E69:F72 B69:D73">
    <cfRule type="expression" dxfId="15" priority="17">
      <formula>#REF!</formula>
    </cfRule>
    <cfRule type="expression" dxfId="14" priority="18">
      <formula>#REF!</formula>
    </cfRule>
    <cfRule type="expression" dxfId="13" priority="19">
      <formula>B68</formula>
    </cfRule>
    <cfRule type="expression" dxfId="12" priority="20">
      <formula>#REF!</formula>
    </cfRule>
  </conditionalFormatting>
  <conditionalFormatting sqref="G68:M68 J69:M72 G69:I73">
    <cfRule type="expression" dxfId="11" priority="13">
      <formula>#REF!</formula>
    </cfRule>
    <cfRule type="expression" dxfId="10" priority="14">
      <formula>#REF!</formula>
    </cfRule>
    <cfRule type="expression" dxfId="9" priority="15">
      <formula>G68</formula>
    </cfRule>
    <cfRule type="expression" dxfId="8" priority="16">
      <formula>#REF!</formula>
    </cfRule>
  </conditionalFormatting>
  <conditionalFormatting sqref="J73:M73">
    <cfRule type="expression" dxfId="7" priority="1">
      <formula>#REF!</formula>
    </cfRule>
    <cfRule type="expression" dxfId="6" priority="2">
      <formula>#REF!</formula>
    </cfRule>
    <cfRule type="expression" dxfId="5" priority="3">
      <formula>J73</formula>
    </cfRule>
    <cfRule type="expression" dxfId="4" priority="4">
      <formula>#REF!</formula>
    </cfRule>
  </conditionalFormatting>
  <conditionalFormatting sqref="E73:F73">
    <cfRule type="expression" dxfId="3" priority="5">
      <formula>#REF!</formula>
    </cfRule>
    <cfRule type="expression" dxfId="2" priority="6">
      <formula>#REF!</formula>
    </cfRule>
    <cfRule type="expression" dxfId="1" priority="7">
      <formula>E73</formula>
    </cfRule>
    <cfRule type="expression" dxfId="0" priority="8">
      <formula>#REF!</formula>
    </cfRule>
  </conditionalFormatting>
  <pageMargins left="0.47031250000000002" right="5.2083333333333336E-2" top="0.75" bottom="0.45572916666666669" header="0.3" footer="0.3"/>
  <pageSetup paperSize="9" scale="36" fitToHeight="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</vt:lpstr>
      <vt:lpstr>Price</vt:lpstr>
      <vt:lpstr>Price!Print_Area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RTU (RSPB-Md. Rahatul Islam)</dc:creator>
  <cp:lastModifiedBy>RTU (RSPB-Md. Rahatul Islam)</cp:lastModifiedBy>
  <dcterms:created xsi:type="dcterms:W3CDTF">2025-07-30T04:54:10Z</dcterms:created>
  <dcterms:modified xsi:type="dcterms:W3CDTF">2026-09-29T08:02:02Z</dcterms:modified>
</cp:coreProperties>
</file>